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5" activeTab="8" autoFilterDateGrouping="1"/>
  </bookViews>
  <sheets>
    <sheet xmlns:r="http://schemas.openxmlformats.org/officeDocument/2006/relationships" name="📊 خلاصه و داشبورد" sheetId="1" state="visible" r:id="rId1"/>
    <sheet xmlns:r="http://schemas.openxmlformats.org/officeDocument/2006/relationships" name="یخچال و فریزر" sheetId="2" state="visible" r:id="rId2"/>
    <sheet xmlns:r="http://schemas.openxmlformats.org/officeDocument/2006/relationships" name="شستشو و نظافت" sheetId="3" state="visible" r:id="rId3"/>
    <sheet xmlns:r="http://schemas.openxmlformats.org/officeDocument/2006/relationships" name="لوازم برقی و پخت و پز" sheetId="4" state="visible" r:id="rId4"/>
    <sheet xmlns:r="http://schemas.openxmlformats.org/officeDocument/2006/relationships" name="نوشیدنی ساز" sheetId="5" state="visible" r:id="rId5"/>
    <sheet xmlns:r="http://schemas.openxmlformats.org/officeDocument/2006/relationships" name="سرمایش و گرمایش" sheetId="6" state="visible" r:id="rId6"/>
    <sheet xmlns:r="http://schemas.openxmlformats.org/officeDocument/2006/relationships" name="تصفیه کننده آب" sheetId="7" state="visible" r:id="rId7"/>
    <sheet xmlns:r="http://schemas.openxmlformats.org/officeDocument/2006/relationships" name="صوتی و تصویری" sheetId="8" state="visible" r:id="rId8"/>
    <sheet xmlns:r="http://schemas.openxmlformats.org/officeDocument/2006/relationships" name="زیبایی و سلامت فردی" sheetId="9" state="visible" r:id="rId9"/>
    <sheet xmlns:r="http://schemas.openxmlformats.org/officeDocument/2006/relationships" name="📖 راهنمای کاربری" sheetId="10" state="visible" r:id="rId10"/>
  </sheets>
  <definedNames>
    <definedName name="_xlnm._FilterDatabase" localSheetId="1" hidden="1">'یخچال و فریزر'!$A$1:$R$1</definedName>
    <definedName name="_xlnm._FilterDatabase" localSheetId="2" hidden="1">'شستشو و نظافت'!$A$1:$R$1</definedName>
    <definedName name="_xlnm._FilterDatabase" localSheetId="3" hidden="1">'لوازم برقی و پخت و پز'!$A$1:$R$1</definedName>
    <definedName name="_xlnm._FilterDatabase" localSheetId="4" hidden="1">'نوشیدنی ساز'!$A$1:$R$1</definedName>
    <definedName name="_xlnm._FilterDatabase" localSheetId="5" hidden="1">'سرمایش و گرمایش'!$A$1:$R$1</definedName>
    <definedName name="_xlnm._FilterDatabase" localSheetId="6" hidden="1">'تصفیه کننده آب'!$A$1:$R$1</definedName>
    <definedName name="_xlnm._FilterDatabase" localSheetId="7" hidden="1">'صوتی و تصویری'!$A$1:$R$1</definedName>
    <definedName name="_xlnm._FilterDatabase" localSheetId="8" hidden="1">'زیبایی و سلامت فردی'!$A$1:$R$1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&quot;0.0%&quot;"/>
  </numFmts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555555"/>
      <sz val="10"/>
    </font>
    <font>
      <name val="Calibri"/>
      <b val="1"/>
      <color rgb="FF1F4E79"/>
      <sz val="16"/>
    </font>
    <font>
      <name val="Calibri"/>
      <b val="1"/>
      <color rgb="FF2E75B6"/>
      <sz val="16"/>
    </font>
    <font>
      <name val="Calibri"/>
      <b val="1"/>
      <color rgb="FF548235"/>
      <sz val="16"/>
    </font>
    <font>
      <name val="Calibri"/>
      <b val="1"/>
      <color rgb="FF27AE60"/>
      <sz val="16"/>
    </font>
    <font>
      <name val="Calibri"/>
      <b val="1"/>
      <color rgb="FFC00000"/>
      <sz val="16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27AE60"/>
      <sz val="10"/>
    </font>
    <font>
      <name val="Calibri"/>
      <b val="1"/>
      <color rgb="FFC00000"/>
      <sz val="10"/>
    </font>
    <font>
      <name val="Calibri"/>
      <b val="1"/>
      <color rgb="FFFFFFFF"/>
      <sz val="10"/>
    </font>
    <font>
      <name val="Calibri"/>
      <b val="1"/>
      <color rgb="FF375623"/>
      <sz val="10"/>
    </font>
    <font>
      <name val="Calibri"/>
      <b val="1"/>
      <sz val="9.5"/>
    </font>
    <font>
      <name val="Calibri"/>
      <sz val="9.5"/>
    </font>
    <font>
      <name val="Calibri"/>
      <color rgb="FF333333"/>
      <sz val="9"/>
    </font>
    <font>
      <name val="Calibri"/>
      <sz val="9"/>
    </font>
    <font>
      <name val="Calibri"/>
      <b val="1"/>
      <sz val="11"/>
    </font>
    <font>
      <name val="Calibri"/>
      <sz val="11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1F5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right" vertical="center"/>
    </xf>
    <xf numFmtId="3" fontId="0" fillId="9" borderId="2" applyAlignment="1" pivotButton="0" quotePrefix="0" xfId="0">
      <alignment horizontal="center" vertical="center"/>
    </xf>
    <xf numFmtId="164" fontId="0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right" vertical="center"/>
    </xf>
    <xf numFmtId="3" fontId="0" fillId="10" borderId="2" applyAlignment="1" pivotButton="0" quotePrefix="0" xfId="0">
      <alignment horizontal="center" vertical="center"/>
    </xf>
    <xf numFmtId="164" fontId="0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21" fillId="0" borderId="0" pivotButton="0" quotePrefix="0" xfId="0"/>
    <xf numFmtId="0" fontId="18" fillId="0" borderId="0" pivotButton="0" quotePrefix="0" xfId="0"/>
    <xf numFmtId="0" fontId="0" fillId="9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right" vertical="center"/>
    </xf>
    <xf numFmtId="0" fontId="18" fillId="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8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165" fontId="0" fillId="9" borderId="2" applyAlignment="1" pivotButton="0" quotePrefix="0" xfId="0">
      <alignment horizontal="center" vertical="center"/>
    </xf>
    <xf numFmtId="165" fontId="0" fillId="1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/>
  </cellStyles>
  <dxfs count="64"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rightToLeft="1" workbookViewId="0">
      <selection activeCell="A1" sqref="A1"/>
    </sheetView>
  </sheetViews>
  <sheetFormatPr baseColWidth="8" defaultRowHeight="15"/>
  <sheetData>
    <row r="2" ht="18.6" customHeight="1" s="38">
      <c r="B2" s="37" t="inlineStr">
        <is>
          <t>📊 داشبورد کاتالوگ جامع و وضعیت انبار — فروشگاه لوازم خانگی حسینی</t>
        </is>
      </c>
    </row>
    <row r="4">
      <c r="B4" s="2" t="inlineStr">
        <is>
          <t>کل محصولات اصلی</t>
        </is>
      </c>
      <c r="C4" s="2" t="inlineStr">
        <is>
          <t>محصولات ثبت‌شده سایت</t>
        </is>
      </c>
      <c r="D4" s="2" t="inlineStr">
        <is>
          <t>تنوع‌های رنگ و سایز</t>
        </is>
      </c>
      <c r="E4" s="2" t="inlineStr">
        <is>
          <t>اقلام موجود (انبار/سایت)</t>
        </is>
      </c>
      <c r="F4" s="2" t="inlineStr">
        <is>
          <t>اقلام ناموجود</t>
        </is>
      </c>
    </row>
    <row r="5" ht="21" customHeight="1" s="38">
      <c r="B5" s="3" t="n">
        <v>207</v>
      </c>
      <c r="C5" s="4" t="n">
        <v>97</v>
      </c>
      <c r="D5" s="5" t="n">
        <v>116</v>
      </c>
      <c r="E5" s="6" t="n">
        <v>158</v>
      </c>
      <c r="F5" s="7" t="n">
        <v>49</v>
      </c>
    </row>
    <row r="7">
      <c r="B7" s="8" t="inlineStr">
        <is>
          <t>دسته‌بندی اصلی</t>
        </is>
      </c>
      <c r="C7" s="8" t="inlineStr">
        <is>
          <t>تعداد کالای اصلی</t>
        </is>
      </c>
      <c r="D7" s="8" t="inlineStr">
        <is>
          <t>تنوع متغیرها</t>
        </is>
      </c>
      <c r="E7" s="8" t="inlineStr">
        <is>
          <t>تعداد موجود</t>
        </is>
      </c>
      <c r="F7" s="8" t="inlineStr">
        <is>
          <t>تعداد ناموجود</t>
        </is>
      </c>
    </row>
    <row r="8">
      <c r="B8" s="9" t="inlineStr">
        <is>
          <t>یخچال و فریزر</t>
        </is>
      </c>
      <c r="C8" s="10" t="n">
        <v>29</v>
      </c>
      <c r="D8" s="10" t="n">
        <v>49</v>
      </c>
      <c r="E8" s="11" t="n">
        <v>27</v>
      </c>
      <c r="F8" s="12" t="n">
        <v>2</v>
      </c>
    </row>
    <row r="9">
      <c r="B9" s="9" t="inlineStr">
        <is>
          <t>شستشو و نظافت</t>
        </is>
      </c>
      <c r="C9" s="10" t="n">
        <v>39</v>
      </c>
      <c r="D9" s="10" t="n">
        <v>30</v>
      </c>
      <c r="E9" s="11" t="n">
        <v>32</v>
      </c>
      <c r="F9" s="12" t="n">
        <v>7</v>
      </c>
    </row>
    <row r="10">
      <c r="B10" s="9" t="inlineStr">
        <is>
          <t>لوازم برقی و پخت و پز</t>
        </is>
      </c>
      <c r="C10" s="10" t="n">
        <v>50</v>
      </c>
      <c r="D10" s="10" t="n">
        <v>26</v>
      </c>
      <c r="E10" s="11" t="n">
        <v>31</v>
      </c>
      <c r="F10" s="12" t="n">
        <v>19</v>
      </c>
    </row>
    <row r="11">
      <c r="B11" s="9" t="inlineStr">
        <is>
          <t>نوشیدنی ساز</t>
        </is>
      </c>
      <c r="C11" s="10" t="n">
        <v>41</v>
      </c>
      <c r="D11" s="10" t="n">
        <v>9</v>
      </c>
      <c r="E11" s="11" t="n">
        <v>31</v>
      </c>
      <c r="F11" s="12" t="n">
        <v>10</v>
      </c>
    </row>
    <row r="12">
      <c r="B12" s="9" t="inlineStr">
        <is>
          <t>سرمایش و گرمایش</t>
        </is>
      </c>
      <c r="C12" s="10" t="n">
        <v>17</v>
      </c>
      <c r="D12" s="10" t="n">
        <v>0</v>
      </c>
      <c r="E12" s="11" t="n">
        <v>13</v>
      </c>
      <c r="F12" s="12" t="n">
        <v>4</v>
      </c>
    </row>
    <row r="13">
      <c r="B13" s="9" t="inlineStr">
        <is>
          <t>تصفیه کننده آب</t>
        </is>
      </c>
      <c r="C13" s="10" t="n">
        <v>8</v>
      </c>
      <c r="D13" s="10" t="n">
        <v>2</v>
      </c>
      <c r="E13" s="11" t="n">
        <v>7</v>
      </c>
      <c r="F13" s="12" t="n">
        <v>1</v>
      </c>
    </row>
    <row r="14">
      <c r="B14" s="9" t="inlineStr">
        <is>
          <t>صوتی و تصویری</t>
        </is>
      </c>
      <c r="C14" s="10" t="n">
        <v>5</v>
      </c>
      <c r="D14" s="10" t="n">
        <v>0</v>
      </c>
      <c r="E14" s="11" t="n">
        <v>3</v>
      </c>
      <c r="F14" s="12" t="n">
        <v>2</v>
      </c>
    </row>
    <row r="15">
      <c r="B15" s="9" t="inlineStr">
        <is>
          <t>زیبایی و سلامت فردی</t>
        </is>
      </c>
      <c r="C15" s="10" t="n">
        <v>18</v>
      </c>
      <c r="D15" s="10" t="n">
        <v>0</v>
      </c>
      <c r="E15" s="11" t="n">
        <v>14</v>
      </c>
      <c r="F15" s="12" t="n">
        <v>4</v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3"/>
  <sheetViews>
    <sheetView rightToLeft="1" workbookViewId="0">
      <pane ySplit="1" topLeftCell="A95" activePane="bottomLeft" state="frozen"/>
      <selection pane="bottomLeft" activeCell="G26" sqref="G26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یخچال و فریزر  ◀  الکترواستیل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15" t="inlineStr">
        <is>
          <t>یخچال فریزر دوقلو 21 فوت الکترواستیل مدل فیوچر</t>
        </is>
      </c>
      <c r="B3" s="16" t="n"/>
      <c r="C3" s="16">
        <f>IF(OR(B3="",B3=0),"",B3/10)</f>
        <v/>
      </c>
      <c r="D3" s="16" t="n"/>
      <c r="E3" s="42">
        <f>IF(ISNUMBER(D3),(B3-D3)/D3,"")</f>
        <v/>
      </c>
      <c r="F3" s="16" t="n"/>
      <c r="G3" s="16">
        <f>IF(OR(F3="",F3=0),"",F3/10)</f>
        <v/>
      </c>
      <c r="H3" s="18" t="inlineStr">
        <is>
          <t>✓ موجود</t>
        </is>
      </c>
      <c r="I3" s="18" t="inlineStr">
        <is>
          <t>یخچال و فریزر</t>
        </is>
      </c>
      <c r="J3" s="18" t="inlineStr">
        <is>
          <t>یخچال و فریزر الکترواستیل</t>
        </is>
      </c>
      <c r="K3" s="18" t="inlineStr">
        <is>
          <t>الکترواستیل</t>
        </is>
      </c>
      <c r="L3" s="18" t="inlineStr">
        <is>
          <t>متغیر</t>
        </is>
      </c>
      <c r="M3" s="18" t="inlineStr">
        <is>
          <t>شامل 2 تنوع</t>
        </is>
      </c>
      <c r="N3" s="18" t="inlineStr">
        <is>
          <t>3453</t>
        </is>
      </c>
      <c r="O3" s="18" t="n"/>
      <c r="P3" s="31" t="inlineStr">
        <is>
          <t>https://hosseinykala.ir/?p=3453</t>
        </is>
      </c>
      <c r="Q3" s="18" t="n"/>
      <c r="R3" s="18" t="inlineStr">
        <is>
          <t>ثبت‌شده در سایت</t>
        </is>
      </c>
    </row>
    <row r="4" ht="18.95" customHeight="1" s="38">
      <c r="A4" s="19" t="inlineStr">
        <is>
          <t>↳ رنگ: تیتانیومی</t>
        </is>
      </c>
      <c r="B4" s="20" t="n">
        <v>3120000000</v>
      </c>
      <c r="C4" s="20">
        <f>IF(OR(ISBLANK(B4),B4=""),"",IF($L4="متغیر","⚠️ والد متغیر نباید قیمت داشته باشد",B4/10))</f>
        <v/>
      </c>
      <c r="D4" s="20" t="n">
        <v>3120000000</v>
      </c>
      <c r="E4" s="43">
        <f>IF(OR(ISBLANK(B4),B4="",ISBLANK(D4),D4="",D4&lt;=0,$L4="متغیر"),"",(B4-D4)/D4)</f>
        <v/>
      </c>
      <c r="F4" s="20" t="n">
        <v>2964000000</v>
      </c>
      <c r="G4" s="20">
        <f>IF(OR(ISBLANK(F4),F4=""),"",IF($L4="متغیر","",F4/10))</f>
        <v/>
      </c>
      <c r="H4" s="22" t="inlineStr">
        <is>
          <t>✓ موجود</t>
        </is>
      </c>
      <c r="I4" s="22" t="inlineStr">
        <is>
          <t>یخچال و فریزر</t>
        </is>
      </c>
      <c r="J4" s="22" t="inlineStr">
        <is>
          <t>یخچال و فریزر الکترواستیل</t>
        </is>
      </c>
      <c r="K4" s="22" t="inlineStr">
        <is>
          <t>الکترواستیل</t>
        </is>
      </c>
      <c r="L4" s="22" t="inlineStr">
        <is>
          <t>تنوع</t>
        </is>
      </c>
      <c r="M4" s="22" t="inlineStr">
        <is>
          <t>رنگ: تیتانیومی</t>
        </is>
      </c>
      <c r="N4" s="22" t="inlineStr">
        <is>
          <t>3453</t>
        </is>
      </c>
      <c r="O4" s="22" t="n">
        <v>3455</v>
      </c>
      <c r="P4" s="32" t="inlineStr">
        <is>
          <t>https://hosseinykala.ir/?p=3453</t>
        </is>
      </c>
      <c r="Q4" s="22" t="n"/>
      <c r="R4" s="22" t="inlineStr">
        <is>
          <t>ثبت‌شده در سایت</t>
        </is>
      </c>
    </row>
    <row r="5" ht="18.95" customHeight="1" s="38">
      <c r="A5" s="19" t="inlineStr">
        <is>
          <t>↳ رنگ: سفید</t>
        </is>
      </c>
      <c r="B5" s="20" t="n">
        <v>3185000000</v>
      </c>
      <c r="C5" s="20">
        <f>IF(OR(ISBLANK(B5),B5=""),"",IF($L5="متغیر","⚠️ والد متغیر نباید قیمت داشته باشد",B5/10))</f>
        <v/>
      </c>
      <c r="D5" s="20" t="n">
        <v>3185000000</v>
      </c>
      <c r="E5" s="43">
        <f>IF(OR(ISBLANK(B5),B5="",ISBLANK(D5),D5="",D5&lt;=0,$L5="متغیر"),"",(B5-D5)/D5)</f>
        <v/>
      </c>
      <c r="F5" s="20" t="n">
        <v>3025750000</v>
      </c>
      <c r="G5" s="20">
        <f>IF(OR(ISBLANK(F5),F5=""),"",IF($L5="متغیر","",F5/10))</f>
        <v/>
      </c>
      <c r="H5" s="22" t="inlineStr">
        <is>
          <t>✓ موجود</t>
        </is>
      </c>
      <c r="I5" s="22" t="inlineStr">
        <is>
          <t>یخچال و فریزر</t>
        </is>
      </c>
      <c r="J5" s="22" t="inlineStr">
        <is>
          <t>یخچال و فریزر الکترواستیل</t>
        </is>
      </c>
      <c r="K5" s="22" t="inlineStr">
        <is>
          <t>الکترواستیل</t>
        </is>
      </c>
      <c r="L5" s="22" t="inlineStr">
        <is>
          <t>تنوع</t>
        </is>
      </c>
      <c r="M5" s="22" t="inlineStr">
        <is>
          <t>رنگ: سفید</t>
        </is>
      </c>
      <c r="N5" s="22" t="inlineStr">
        <is>
          <t>3453</t>
        </is>
      </c>
      <c r="O5" s="22" t="n">
        <v>3454</v>
      </c>
      <c r="P5" s="32" t="inlineStr">
        <is>
          <t>https://hosseinykala.ir/?p=3453</t>
        </is>
      </c>
      <c r="Q5" s="22" t="n"/>
      <c r="R5" s="22" t="inlineStr">
        <is>
          <t>ثبت‌شده در سایت</t>
        </is>
      </c>
    </row>
    <row r="6" ht="21" customHeight="1" s="38">
      <c r="A6" s="23" t="inlineStr">
        <is>
          <t>فریزر ۱۰ فوت تک الکترواستیل سری 10 نوفراست سفید چرمی</t>
        </is>
      </c>
      <c r="B6" s="24" t="n">
        <v>800000000</v>
      </c>
      <c r="C6" s="24">
        <f>IF(OR(ISBLANK(B6),B6=""),"",IF($L6="متغیر","⚠️ والد متغیر نباید قیمت داشته باشد",B6/10))</f>
        <v/>
      </c>
      <c r="D6" s="24" t="n">
        <v>800000000</v>
      </c>
      <c r="E6" s="44">
        <f>IF(OR(ISBLANK(B6),B6="",ISBLANK(D6),D6="",D6&lt;=0,$L6="متغیر"),"",(B6-D6)/D6)</f>
        <v/>
      </c>
      <c r="F6" s="24" t="n">
        <v>760000000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یخچال و فریزر</t>
        </is>
      </c>
      <c r="J6" s="26" t="inlineStr">
        <is>
          <t>یخچال و فریزر الکترواستیل</t>
        </is>
      </c>
      <c r="K6" s="26" t="inlineStr">
        <is>
          <t>الکترواستیل</t>
        </is>
      </c>
      <c r="L6" s="26" t="inlineStr">
        <is>
          <t>ساده</t>
        </is>
      </c>
      <c r="M6" s="26" t="n"/>
      <c r="N6" s="26" t="n">
        <v>4286</v>
      </c>
      <c r="O6" s="26" t="n"/>
      <c r="P6" s="33" t="inlineStr">
        <is>
          <t>https://hosseinykala.ir/product/electrosteel-es10-10ft-single-freezer-white/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یخچال و فریزر 14 فوت الکترواستیل سفید</t>
        </is>
      </c>
      <c r="B7" s="24" t="n">
        <v>850000000</v>
      </c>
      <c r="C7" s="24">
        <f>IF(OR(ISBLANK(B7),B7=""),"",IF($L7="متغیر","⚠️ والد متغیر نباید قیمت داشته باشد",B7/10))</f>
        <v/>
      </c>
      <c r="D7" s="24" t="n">
        <v>850000000</v>
      </c>
      <c r="E7" s="44">
        <f>IF(OR(ISBLANK(B7),B7="",ISBLANK(D7),D7="",D7&lt;=0,$L7="متغیر"),"",(B7-D7)/D7)</f>
        <v/>
      </c>
      <c r="F7" s="24" t="n">
        <v>807500000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یخچال و فریزر</t>
        </is>
      </c>
      <c r="J7" s="26" t="inlineStr">
        <is>
          <t>یخچال و فریزر الکترواستیل</t>
        </is>
      </c>
      <c r="K7" s="26" t="inlineStr">
        <is>
          <t>الکترواستیل</t>
        </is>
      </c>
      <c r="L7" s="26" t="inlineStr">
        <is>
          <t>ساده</t>
        </is>
      </c>
      <c r="M7" s="26" t="n"/>
      <c r="N7" s="26" t="n">
        <v>4288</v>
      </c>
      <c r="O7" s="26" t="n"/>
      <c r="P7" s="33" t="inlineStr">
        <is>
          <t>https://hosseinykala.ir/product/electrosteel-es14-star-14ft-refrigerator-freezer-white/</t>
        </is>
      </c>
      <c r="Q7" s="26" t="n"/>
      <c r="R7" s="26" t="inlineStr">
        <is>
          <t>ثبت‌شده در سایت</t>
        </is>
      </c>
    </row>
    <row r="8" ht="21" customHeight="1" s="38">
      <c r="A8" s="23" t="inlineStr">
        <is>
          <t>یخچال و فریزر ۷ فوت الکترواستیل مدل کمپکت سفید</t>
        </is>
      </c>
      <c r="B8" s="24" t="n">
        <v>450000000</v>
      </c>
      <c r="C8" s="24">
        <f>IF(OR(ISBLANK(B8),B8=""),"",IF($L8="متغیر","⚠️ والد متغیر نباید قیمت داشته باشد",B8/10))</f>
        <v/>
      </c>
      <c r="D8" s="24" t="n">
        <v>450000000</v>
      </c>
      <c r="E8" s="44">
        <f>IF(OR(ISBLANK(B8),B8="",ISBLANK(D8),D8="",D8&lt;=0,$L8="متغیر"),"",(B8-D8)/D8)</f>
        <v/>
      </c>
      <c r="F8" s="24" t="n">
        <v>427500000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یخچال و فریزر</t>
        </is>
      </c>
      <c r="J8" s="26" t="inlineStr">
        <is>
          <t>یخچال و فریزر الکترواستیل</t>
        </is>
      </c>
      <c r="K8" s="26" t="inlineStr">
        <is>
          <t>الکترواستیل</t>
        </is>
      </c>
      <c r="L8" s="26" t="inlineStr">
        <is>
          <t>ساده</t>
        </is>
      </c>
      <c r="M8" s="26" t="n"/>
      <c r="N8" s="26" t="n">
        <v>4290</v>
      </c>
      <c r="O8" s="26" t="n"/>
      <c r="P8" s="33" t="inlineStr">
        <is>
          <t>https://hosseinykala.ir/product/electrosteel-es7-compact-mini-refrigerator-white/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یخچال و فریزر 27 فوت الکترواستیل تیتانیوم</t>
        </is>
      </c>
      <c r="B9" s="24" t="n">
        <v>1250000000</v>
      </c>
      <c r="C9" s="24">
        <f>IF(OR(ISBLANK(B9),B9=""),"",IF($L9="متغیر","⚠️ والد متغیر نباید قیمت داشته باشد",B9/10))</f>
        <v/>
      </c>
      <c r="D9" s="24" t="inlineStr">
        <is>
          <t xml:space="preserve">  </t>
        </is>
      </c>
      <c r="E9" s="44">
        <f>IF(OR(ISBLANK(B9),B9="",ISBLANK(D9),D9="",D9&lt;=0,$L9="متغیر"),"",(B9-D9)/D9)</f>
        <v/>
      </c>
      <c r="F9" s="24" t="n">
        <v>1187500000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یخچال و فریزر</t>
        </is>
      </c>
      <c r="J9" s="26" t="inlineStr">
        <is>
          <t>یخچال و فریزر الکترواستیل</t>
        </is>
      </c>
      <c r="K9" s="26" t="inlineStr">
        <is>
          <t>الکترواستیل</t>
        </is>
      </c>
      <c r="L9" s="26" t="inlineStr">
        <is>
          <t>ساده</t>
        </is>
      </c>
      <c r="M9" s="26" t="n"/>
      <c r="N9" s="26" t="n">
        <v>4292</v>
      </c>
      <c r="O9" s="26" t="n"/>
      <c r="P9" s="33" t="inlineStr">
        <is>
          <t>https://hosseinykala.ir/product/electrosteel-es27-27ft-refrigerator-freezer-titanium/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یخچال و فریزر 34 فوت هوم بار الکترواستیل سفید</t>
        </is>
      </c>
      <c r="B10" s="24" t="n">
        <v>1450000000</v>
      </c>
      <c r="C10" s="24">
        <f>IF(OR(ISBLANK(B10),B10=""),"",IF($L10="متغیر","⚠️ والد متغیر نباید قیمت داشته باشد",B10/10))</f>
        <v/>
      </c>
      <c r="D10" s="24" t="n">
        <v>1450000000</v>
      </c>
      <c r="E10" s="44">
        <f>IF(OR(ISBLANK(B10),B10="",ISBLANK(D10),D10="",D10&lt;=0,$L10="متغیر"),"",(B10-D10)/D10)</f>
        <v/>
      </c>
      <c r="F10" s="24" t="n">
        <v>1377500000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یخچال و فریزر</t>
        </is>
      </c>
      <c r="J10" s="26" t="inlineStr">
        <is>
          <t>یخچال و فریزر الکترواستیل</t>
        </is>
      </c>
      <c r="K10" s="26" t="inlineStr">
        <is>
          <t>الکترواستیل</t>
        </is>
      </c>
      <c r="L10" s="26" t="inlineStr">
        <is>
          <t>ساده</t>
        </is>
      </c>
      <c r="M10" s="26" t="n"/>
      <c r="N10" s="26" t="n">
        <v>4294</v>
      </c>
      <c r="O10" s="26" t="n"/>
      <c r="P10" s="33" t="inlineStr">
        <is>
          <t>https://hosseinykala.ir/product/electrosteel-es34-home-bar-34ft-refrigerator-freezer-white/</t>
        </is>
      </c>
      <c r="Q10" s="26" t="n"/>
      <c r="R10" s="26" t="inlineStr">
        <is>
          <t>ثبت‌شده در سایت</t>
        </is>
      </c>
    </row>
    <row r="11" ht="21.95" customHeight="1" s="38">
      <c r="A11" s="39" t="inlineStr">
        <is>
          <t xml:space="preserve">  📂 یخچال و فریزر  ◀  دیپوینت</t>
        </is>
      </c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1" t="n"/>
    </row>
    <row r="12" ht="21" customHeight="1" s="38">
      <c r="A12" s="15" t="inlineStr">
        <is>
          <t>یخچال فریزر دوقلو 34 فوت دیپوینت مدل MAX.DU _ مکس</t>
        </is>
      </c>
      <c r="B12" s="16" t="n"/>
      <c r="C12" s="16">
        <f>IF(OR(B12="",B12=0),"",B12/10)</f>
        <v/>
      </c>
      <c r="D12" s="16" t="n"/>
      <c r="E12" s="42">
        <f>IF(ISNUMBER(D12),(B12-D12)/D12,"")</f>
        <v/>
      </c>
      <c r="F12" s="16" t="n"/>
      <c r="G12" s="16">
        <f>IF(OR(F12="",F12=0),"",F12/10)</f>
        <v/>
      </c>
      <c r="H12" s="18" t="inlineStr">
        <is>
          <t>✓ موجود</t>
        </is>
      </c>
      <c r="I12" s="18" t="inlineStr">
        <is>
          <t>یخچال و فریزر</t>
        </is>
      </c>
      <c r="J12" s="18" t="inlineStr">
        <is>
          <t>یخچال و فریزر دیپوینت</t>
        </is>
      </c>
      <c r="K12" s="18" t="inlineStr">
        <is>
          <t>دیپوینت</t>
        </is>
      </c>
      <c r="L12" s="18" t="inlineStr">
        <is>
          <t>متغیر</t>
        </is>
      </c>
      <c r="M12" s="18" t="inlineStr">
        <is>
          <t>شامل 2 تنوع</t>
        </is>
      </c>
      <c r="N12" s="18" t="inlineStr">
        <is>
          <t>2745</t>
        </is>
      </c>
      <c r="O12" s="18" t="n"/>
      <c r="P12" s="31" t="inlineStr">
        <is>
          <t>https://hosseinykala.ir/?p=2745</t>
        </is>
      </c>
      <c r="Q12" s="18" t="n"/>
      <c r="R12" s="18" t="inlineStr">
        <is>
          <t>ثبت‌شده در سایت</t>
        </is>
      </c>
    </row>
    <row r="13" ht="18.95" customHeight="1" s="38">
      <c r="A13" s="19" t="inlineStr">
        <is>
          <t>↳ رنگ: سفید</t>
        </is>
      </c>
      <c r="B13" s="20" t="n">
        <v>2535000000</v>
      </c>
      <c r="C13" s="20">
        <f>IF(OR(ISBLANK(B13),B13=""),"",IF($L13="متغیر","⚠️ والد متغیر نباید قیمت داشته باشد",B13/10))</f>
        <v/>
      </c>
      <c r="D13" s="20" t="n">
        <v>2535000000</v>
      </c>
      <c r="E13" s="43">
        <f>IF(OR(ISBLANK(B13),B13="",ISBLANK(D13),D13="",D13&lt;=0,$L13="متغیر"),"",(B13-D13)/D13)</f>
        <v/>
      </c>
      <c r="F13" s="20" t="n">
        <v>2408250000</v>
      </c>
      <c r="G13" s="20">
        <f>IF(OR(ISBLANK(F13),F13=""),"",IF($L13="متغیر","",F13/10))</f>
        <v/>
      </c>
      <c r="H13" s="22" t="inlineStr">
        <is>
          <t>✓ موجود</t>
        </is>
      </c>
      <c r="I13" s="22" t="inlineStr">
        <is>
          <t>یخچال و فریزر</t>
        </is>
      </c>
      <c r="J13" s="22" t="inlineStr">
        <is>
          <t>یخچال و فریزر دیپوینت</t>
        </is>
      </c>
      <c r="K13" s="22" t="inlineStr">
        <is>
          <t>دیپوینت</t>
        </is>
      </c>
      <c r="L13" s="22" t="inlineStr">
        <is>
          <t>تنوع</t>
        </is>
      </c>
      <c r="M13" s="22" t="inlineStr">
        <is>
          <t>رنگ: سفید</t>
        </is>
      </c>
      <c r="N13" s="22" t="inlineStr">
        <is>
          <t>2745</t>
        </is>
      </c>
      <c r="O13" s="22" t="n">
        <v>2755</v>
      </c>
      <c r="P13" s="32" t="inlineStr">
        <is>
          <t>https://hosseinykala.ir/?p=2745</t>
        </is>
      </c>
      <c r="Q13" s="22" t="n"/>
      <c r="R13" s="22" t="inlineStr">
        <is>
          <t>ثبت‌شده در سایت</t>
        </is>
      </c>
    </row>
    <row r="14" ht="18.95" customHeight="1" s="38">
      <c r="A14" s="19" t="inlineStr">
        <is>
          <t>↳ رنگ: نقره ای</t>
        </is>
      </c>
      <c r="B14" s="20" t="n">
        <v>2392000000</v>
      </c>
      <c r="C14" s="20">
        <f>IF(OR(ISBLANK(B14),B14=""),"",IF($L14="متغیر","⚠️ والد متغیر نباید قیمت داشته باشد",B14/10))</f>
        <v/>
      </c>
      <c r="D14" s="20" t="n">
        <v>2392000000</v>
      </c>
      <c r="E14" s="43">
        <f>IF(OR(ISBLANK(B14),B14="",ISBLANK(D14),D14="",D14&lt;=0,$L14="متغیر"),"",(B14-D14)/D14)</f>
        <v/>
      </c>
      <c r="F14" s="20" t="n">
        <v>2272400000</v>
      </c>
      <c r="G14" s="20">
        <f>IF(OR(ISBLANK(F14),F14=""),"",IF($L14="متغیر","",F14/10))</f>
        <v/>
      </c>
      <c r="H14" s="22" t="inlineStr">
        <is>
          <t>✓ موجود</t>
        </is>
      </c>
      <c r="I14" s="22" t="inlineStr">
        <is>
          <t>یخچال و فریزر</t>
        </is>
      </c>
      <c r="J14" s="22" t="inlineStr">
        <is>
          <t>یخچال و فریزر دیپوینت</t>
        </is>
      </c>
      <c r="K14" s="22" t="inlineStr">
        <is>
          <t>دیپوینت</t>
        </is>
      </c>
      <c r="L14" s="22" t="inlineStr">
        <is>
          <t>تنوع</t>
        </is>
      </c>
      <c r="M14" s="22" t="inlineStr">
        <is>
          <t>رنگ: نقره ای</t>
        </is>
      </c>
      <c r="N14" s="22" t="inlineStr">
        <is>
          <t>2745</t>
        </is>
      </c>
      <c r="O14" s="22" t="n">
        <v>2754</v>
      </c>
      <c r="P14" s="32" t="inlineStr">
        <is>
          <t>https://hosseinykala.ir/?p=2745</t>
        </is>
      </c>
      <c r="Q14" s="22" t="n"/>
      <c r="R14" s="22" t="inlineStr">
        <is>
          <t>ثبت‌شده در سایت</t>
        </is>
      </c>
    </row>
    <row r="15" ht="21" customHeight="1" s="38">
      <c r="A15" s="15" t="inlineStr">
        <is>
          <t>یخچال فریزر 30 فوت دیپوینت مدل Boss Pro</t>
        </is>
      </c>
      <c r="B15" s="16" t="n"/>
      <c r="C15" s="16">
        <f>IF(OR(B15="",B15=0),"",B15/10)</f>
        <v/>
      </c>
      <c r="D15" s="16" t="n"/>
      <c r="E15" s="42">
        <f>IF(ISNUMBER(D15),(B15-D15)/D15,"")</f>
        <v/>
      </c>
      <c r="F15" s="16" t="n"/>
      <c r="G15" s="16">
        <f>IF(OR(F15="",F15=0),"",F15/10)</f>
        <v/>
      </c>
      <c r="H15" s="18" t="inlineStr">
        <is>
          <t>✓ موجود</t>
        </is>
      </c>
      <c r="I15" s="18" t="inlineStr">
        <is>
          <t>یخچال و فریزر</t>
        </is>
      </c>
      <c r="J15" s="18" t="inlineStr">
        <is>
          <t>یخچال و فریزر دیپوینت</t>
        </is>
      </c>
      <c r="K15" s="18" t="inlineStr">
        <is>
          <t>دیپوینت</t>
        </is>
      </c>
      <c r="L15" s="18" t="inlineStr">
        <is>
          <t>متغیر</t>
        </is>
      </c>
      <c r="M15" s="18" t="inlineStr">
        <is>
          <t>شامل 2 تنوع</t>
        </is>
      </c>
      <c r="N15" s="18" t="inlineStr">
        <is>
          <t>2594</t>
        </is>
      </c>
      <c r="O15" s="18" t="n"/>
      <c r="P15" s="31" t="inlineStr">
        <is>
          <t>https://hosseinykala.ir/?p=2594</t>
        </is>
      </c>
      <c r="Q15" s="18" t="n"/>
      <c r="R15" s="18" t="inlineStr">
        <is>
          <t>ثبت‌شده در سایت</t>
        </is>
      </c>
    </row>
    <row r="16" ht="18.95" customHeight="1" s="38">
      <c r="A16" s="19" t="inlineStr">
        <is>
          <t>↳ رنگ: استیل</t>
        </is>
      </c>
      <c r="B16" s="20" t="n">
        <v>1800000000</v>
      </c>
      <c r="C16" s="20">
        <f>IF(OR(ISBLANK(B16),B16=""),"",IF($L16="متغیر","⚠️ والد متغیر نباید قیمت داشته باشد",B16/10))</f>
        <v/>
      </c>
      <c r="D16" s="20" t="n">
        <v>1800000000</v>
      </c>
      <c r="E16" s="43">
        <f>IF(OR(ISBLANK(B16),B16="",ISBLANK(D16),D16="",D16&lt;=0,$L16="متغیر"),"",(B16-D16)/D16)</f>
        <v/>
      </c>
      <c r="F16" s="20" t="n">
        <v>1710000000</v>
      </c>
      <c r="G16" s="20">
        <f>IF(OR(ISBLANK(F16),F16=""),"",IF($L16="متغیر","",F16/10))</f>
        <v/>
      </c>
      <c r="H16" s="22" t="inlineStr">
        <is>
          <t>✓ موجود</t>
        </is>
      </c>
      <c r="I16" s="22" t="inlineStr">
        <is>
          <t>یخچال و فریزر</t>
        </is>
      </c>
      <c r="J16" s="22" t="inlineStr">
        <is>
          <t>یخچال و فریزر دیپوینت</t>
        </is>
      </c>
      <c r="K16" s="22" t="inlineStr">
        <is>
          <t>دیپوینت</t>
        </is>
      </c>
      <c r="L16" s="22" t="inlineStr">
        <is>
          <t>تنوع</t>
        </is>
      </c>
      <c r="M16" s="22" t="inlineStr">
        <is>
          <t>رنگ: استیل</t>
        </is>
      </c>
      <c r="N16" s="22" t="inlineStr">
        <is>
          <t>2594</t>
        </is>
      </c>
      <c r="O16" s="22" t="n">
        <v>2859</v>
      </c>
      <c r="P16" s="32" t="inlineStr">
        <is>
          <t>https://hosseinykala.ir/?p=2594</t>
        </is>
      </c>
      <c r="Q16" s="22" t="n"/>
      <c r="R16" s="22" t="inlineStr">
        <is>
          <t>ثبت‌شده در سایت</t>
        </is>
      </c>
    </row>
    <row r="17" ht="18.95" customHeight="1" s="38">
      <c r="A17" s="19" t="inlineStr">
        <is>
          <t>↳ رنگ: سفید</t>
        </is>
      </c>
      <c r="B17" s="20" t="n">
        <v>1750000000</v>
      </c>
      <c r="C17" s="20">
        <f>IF(OR(ISBLANK(B17),B17=""),"",IF($L17="متغیر","⚠️ والد متغیر نباید قیمت داشته باشد",B17/10))</f>
        <v/>
      </c>
      <c r="D17" s="20" t="n">
        <v>1750000000</v>
      </c>
      <c r="E17" s="43">
        <f>IF(OR(ISBLANK(B17),B17="",ISBLANK(D17),D17="",D17&lt;=0,$L17="متغیر"),"",(B17-D17)/D17)</f>
        <v/>
      </c>
      <c r="F17" s="20" t="n">
        <v>1662500000</v>
      </c>
      <c r="G17" s="20">
        <f>IF(OR(ISBLANK(F17),F17=""),"",IF($L17="متغیر","",F17/10))</f>
        <v/>
      </c>
      <c r="H17" s="22" t="inlineStr">
        <is>
          <t>✓ موجود</t>
        </is>
      </c>
      <c r="I17" s="22" t="inlineStr">
        <is>
          <t>یخچال و فریزر</t>
        </is>
      </c>
      <c r="J17" s="22" t="inlineStr">
        <is>
          <t>یخچال و فریزر دیپوینت</t>
        </is>
      </c>
      <c r="K17" s="22" t="inlineStr">
        <is>
          <t>دیپوینت</t>
        </is>
      </c>
      <c r="L17" s="22" t="inlineStr">
        <is>
          <t>تنوع</t>
        </is>
      </c>
      <c r="M17" s="22" t="inlineStr">
        <is>
          <t>رنگ: سفید</t>
        </is>
      </c>
      <c r="N17" s="22" t="inlineStr">
        <is>
          <t>2594</t>
        </is>
      </c>
      <c r="O17" s="22" t="n">
        <v>2858</v>
      </c>
      <c r="P17" s="32" t="inlineStr">
        <is>
          <t>https://hosseinykala.ir/?p=2594</t>
        </is>
      </c>
      <c r="Q17" s="22" t="n"/>
      <c r="R17" s="22" t="inlineStr">
        <is>
          <t>ثبت‌شده در سایت</t>
        </is>
      </c>
    </row>
    <row r="18" ht="21" customHeight="1" s="38">
      <c r="A18" s="15" t="inlineStr">
        <is>
          <t>یخچال و فریزر 28 فوت دیپوینت مدل T7، بدون برفک، با ارتفاع 184، پهنای 86 و عمق 73 سانتی‌متر، میزان مصرف انرژی A، دارای 4 طبقه در یخچال و 2 طبقه در فریزر، دارای سیستم نوفراست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یخچال و فریزر</t>
        </is>
      </c>
      <c r="J18" s="18" t="inlineStr">
        <is>
          <t>یخچال و فریزر دیپوینت</t>
        </is>
      </c>
      <c r="K18" s="18" t="inlineStr">
        <is>
          <t>دیپوینت</t>
        </is>
      </c>
      <c r="L18" s="18" t="inlineStr">
        <is>
          <t>متغیر</t>
        </is>
      </c>
      <c r="M18" s="18" t="inlineStr">
        <is>
          <t>شامل 2 تنوع</t>
        </is>
      </c>
      <c r="N18" s="18" t="inlineStr">
        <is>
          <t>2585</t>
        </is>
      </c>
      <c r="O18" s="18" t="n"/>
      <c r="P18" s="31" t="inlineStr">
        <is>
          <t>https://hosseinykala.ir/?p=2585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سفید</t>
        </is>
      </c>
      <c r="B19" s="20" t="n">
        <v>1500000000</v>
      </c>
      <c r="C19" s="20">
        <f>IF(OR(ISBLANK(B19),B19=""),"",IF($L19="متغیر","⚠️ والد متغیر نباید قیمت داشته باشد",B19/10))</f>
        <v/>
      </c>
      <c r="D19" s="20" t="n">
        <v>1500000000</v>
      </c>
      <c r="E19" s="43">
        <f>IF(OR(ISBLANK(B19),B19="",ISBLANK(D19),D19="",D19&lt;=0,$L19="متغیر"),"",(B19-D19)/D19)</f>
        <v/>
      </c>
      <c r="F19" s="20" t="n">
        <v>1425000000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یخچال و فریزر</t>
        </is>
      </c>
      <c r="J19" s="22" t="inlineStr">
        <is>
          <t>یخچال و فریزر دیپوینت</t>
        </is>
      </c>
      <c r="K19" s="22" t="inlineStr">
        <is>
          <t>دیپوینت</t>
        </is>
      </c>
      <c r="L19" s="22" t="inlineStr">
        <is>
          <t>تنوع</t>
        </is>
      </c>
      <c r="M19" s="22" t="inlineStr">
        <is>
          <t>رنگ: سفید</t>
        </is>
      </c>
      <c r="N19" s="22" t="inlineStr">
        <is>
          <t>2585</t>
        </is>
      </c>
      <c r="O19" s="22" t="n">
        <v>2593</v>
      </c>
      <c r="P19" s="32" t="inlineStr">
        <is>
          <t>https://hosseinykala.ir/?p=2585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نقره ای</t>
        </is>
      </c>
      <c r="B20" s="20" t="n">
        <v>1550000000</v>
      </c>
      <c r="C20" s="20">
        <f>IF(OR(ISBLANK(B20),B20=""),"",IF($L20="متغیر","⚠️ والد متغیر نباید قیمت داشته باشد",B20/10))</f>
        <v/>
      </c>
      <c r="D20" s="20" t="n">
        <v>1550000000</v>
      </c>
      <c r="E20" s="43">
        <f>IF(OR(ISBLANK(B20),B20="",ISBLANK(D20),D20="",D20&lt;=0,$L20="متغیر"),"",(B20-D20)/D20)</f>
        <v/>
      </c>
      <c r="F20" s="20" t="n">
        <v>1472500000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یخچال و فریزر</t>
        </is>
      </c>
      <c r="J20" s="22" t="inlineStr">
        <is>
          <t>یخچال و فریزر دیپوینت</t>
        </is>
      </c>
      <c r="K20" s="22" t="inlineStr">
        <is>
          <t>دیپوینت</t>
        </is>
      </c>
      <c r="L20" s="22" t="inlineStr">
        <is>
          <t>تنوع</t>
        </is>
      </c>
      <c r="M20" s="22" t="inlineStr">
        <is>
          <t>رنگ: نقره ای</t>
        </is>
      </c>
      <c r="N20" s="22" t="inlineStr">
        <is>
          <t>2585</t>
        </is>
      </c>
      <c r="O20" s="22" t="n">
        <v>2592</v>
      </c>
      <c r="P20" s="32" t="inlineStr">
        <is>
          <t>https://hosseinykala.ir/?p=2585</t>
        </is>
      </c>
      <c r="Q20" s="22" t="n"/>
      <c r="R20" s="22" t="inlineStr">
        <is>
          <t>ثبت‌شده در سایت</t>
        </is>
      </c>
    </row>
    <row r="21" ht="21" customHeight="1" s="38">
      <c r="A21" s="23" t="inlineStr">
        <is>
          <t>یخچال و فریزر دیپوینت استیل</t>
        </is>
      </c>
      <c r="B21" s="24" t="n"/>
      <c r="C21" s="24">
        <f>IF(OR(ISBLANK(B21),B21=""),"",IF($L21="متغیر","⚠️ والد متغیر نباید قیمت داشته باشد",B21/10))</f>
        <v/>
      </c>
      <c r="D21" s="24" t="n"/>
      <c r="E21" s="44">
        <f>IF(OR(ISBLANK(B21),B21="",ISBLANK(D21),D21="",D21&lt;=0,$L21="متغیر"),"",(B21-D21)/D21)</f>
        <v/>
      </c>
      <c r="F21" s="24" t="n"/>
      <c r="G21" s="24">
        <f>IF(OR(ISBLANK(F21),F21=""),"",IF($L21="متغیر","",F21/10))</f>
        <v/>
      </c>
      <c r="H21" s="26" t="inlineStr">
        <is>
          <t>✗ ناموجود</t>
        </is>
      </c>
      <c r="I21" s="26" t="inlineStr">
        <is>
          <t>یخچال و فریزر</t>
        </is>
      </c>
      <c r="J21" s="26" t="inlineStr">
        <is>
          <t>یخچال و فریزر دیپوینت</t>
        </is>
      </c>
      <c r="K21" s="26" t="inlineStr">
        <is>
          <t>دیپوینت</t>
        </is>
      </c>
      <c r="L21" s="26" t="inlineStr">
        <is>
          <t>ساده</t>
        </is>
      </c>
      <c r="M21" s="26" t="n"/>
      <c r="N21" s="26" t="n"/>
      <c r="O21" s="26" t="n"/>
      <c r="P21" s="33" t="n"/>
      <c r="Q21" s="26" t="n"/>
      <c r="R21" s="26" t="inlineStr">
        <is>
          <t>فعلا دست نگه دار</t>
        </is>
      </c>
    </row>
    <row r="22" ht="21" customHeight="1" s="38">
      <c r="A22" s="34" t="inlineStr">
        <is>
          <t>یخچال و فریزر دوقلو دیپوینت مدل اکسپلور (Explore)</t>
        </is>
      </c>
      <c r="B22" s="24" t="n"/>
      <c r="C22" s="24">
        <f>IF(OR(B22="",B22=0),"",B22/10)</f>
        <v/>
      </c>
      <c r="D22" s="24" t="n"/>
      <c r="E22" s="44">
        <f>IF(ISNUMBER(D22),(B22-D22)/D22,"")</f>
        <v/>
      </c>
      <c r="F22" s="24" t="n"/>
      <c r="G22" s="24">
        <f>IF(OR(F22="",F22=0),"",F22/10)</f>
        <v/>
      </c>
      <c r="H22" s="26" t="inlineStr">
        <is>
          <t>✓ موجود</t>
        </is>
      </c>
      <c r="I22" s="26" t="inlineStr">
        <is>
          <t>یخچال و فریزر</t>
        </is>
      </c>
      <c r="J22" s="26" t="inlineStr">
        <is>
          <t>یخچال و فریزر دیپوینت</t>
        </is>
      </c>
      <c r="K22" s="26" t="inlineStr">
        <is>
          <t>دیپوینت</t>
        </is>
      </c>
      <c r="L22" s="26" t="inlineStr">
        <is>
          <t>متغیر</t>
        </is>
      </c>
      <c r="M22" s="26" t="inlineStr">
        <is>
          <t>شامل 2 تنوع</t>
        </is>
      </c>
      <c r="N22" s="26" t="n">
        <v>4297</v>
      </c>
      <c r="O22" s="26" t="n"/>
      <c r="P22" s="33" t="inlineStr">
        <is>
          <t>https://hosseinykala.ir/product/depoint-explore-twin-refrigerator-freezer/</t>
        </is>
      </c>
      <c r="Q22" s="26" t="n"/>
      <c r="R22" s="26" t="inlineStr">
        <is>
          <t>ثبت‌شده در سایت</t>
        </is>
      </c>
    </row>
    <row r="23" ht="18.95" customHeight="1" s="38">
      <c r="A23" s="35" t="inlineStr">
        <is>
          <t>↳ رنگ: سفید</t>
        </is>
      </c>
      <c r="B23" s="24" t="n">
        <v>3200000000</v>
      </c>
      <c r="C23" s="24">
        <f>IF(OR(ISBLANK(B23),B23=""),"",IF($L23="متغیر","⚠️ والد متغیر نباید قیمت داشته باشد",B23/10))</f>
        <v/>
      </c>
      <c r="D23" s="24" t="n">
        <v>3200000000</v>
      </c>
      <c r="E23" s="44">
        <f>IF(OR(ISBLANK(B23),B23="",ISBLANK(D23),D23="",D23&lt;=0,$L23="متغیر"),"",(B23-D23)/D23)</f>
        <v/>
      </c>
      <c r="F23" s="24" t="n">
        <v>3040000000</v>
      </c>
      <c r="G23" s="24">
        <f>IF(OR(ISBLANK(F23),F23=""),"",IF($L23="متغیر","",F23/10))</f>
        <v/>
      </c>
      <c r="H23" s="36" t="inlineStr">
        <is>
          <t>✓ موجود</t>
        </is>
      </c>
      <c r="I23" s="36" t="inlineStr">
        <is>
          <t>یخچال و فریزر</t>
        </is>
      </c>
      <c r="J23" s="36" t="inlineStr">
        <is>
          <t>یخچال و فریزر دیپوینت</t>
        </is>
      </c>
      <c r="K23" s="36" t="inlineStr">
        <is>
          <t>دیپوینت</t>
        </is>
      </c>
      <c r="L23" s="36" t="inlineStr">
        <is>
          <t>تنوع</t>
        </is>
      </c>
      <c r="M23" s="36" t="inlineStr">
        <is>
          <t>رنگ: سفید</t>
        </is>
      </c>
      <c r="N23" s="36" t="n">
        <v>4297</v>
      </c>
      <c r="O23" s="36" t="n">
        <v>4298</v>
      </c>
      <c r="P23" s="33" t="inlineStr">
        <is>
          <t>https://hosseinykala.ir/product/depoint-explore-twin-refrigerator-freezer/</t>
        </is>
      </c>
      <c r="Q23" s="36" t="n"/>
      <c r="R23" s="36" t="inlineStr">
        <is>
          <t>ثبت‌شده در سایت</t>
        </is>
      </c>
    </row>
    <row r="24" ht="18.95" customHeight="1" s="38">
      <c r="A24" s="35" t="inlineStr">
        <is>
          <t>↳ رنگ: سیلور (نقره ای)</t>
        </is>
      </c>
      <c r="B24" s="24" t="n">
        <v>3250000000</v>
      </c>
      <c r="C24" s="24">
        <f>IF(OR(ISBLANK(B24),B24=""),"",IF($L24="متغیر","⚠️ والد متغیر نباید قیمت داشته باشد",B24/10))</f>
        <v/>
      </c>
      <c r="D24" s="24" t="n">
        <v>3250000000</v>
      </c>
      <c r="E24" s="44">
        <f>IF(OR(ISBLANK(B24),B24="",ISBLANK(D24),D24="",D24&lt;=0,$L24="متغیر"),"",(B24-D24)/D24)</f>
        <v/>
      </c>
      <c r="F24" s="24" t="n">
        <v>3087500000</v>
      </c>
      <c r="G24" s="24">
        <f>IF(OR(ISBLANK(F24),F24=""),"",IF($L24="متغیر","",F24/10))</f>
        <v/>
      </c>
      <c r="H24" s="36" t="inlineStr">
        <is>
          <t>✓ موجود</t>
        </is>
      </c>
      <c r="I24" s="36" t="inlineStr">
        <is>
          <t>یخچال و فریزر</t>
        </is>
      </c>
      <c r="J24" s="36" t="inlineStr">
        <is>
          <t>یخچال و فریزر دیپوینت</t>
        </is>
      </c>
      <c r="K24" s="36" t="inlineStr">
        <is>
          <t>دیپوینت</t>
        </is>
      </c>
      <c r="L24" s="36" t="inlineStr">
        <is>
          <t>تنوع</t>
        </is>
      </c>
      <c r="M24" s="36" t="inlineStr">
        <is>
          <t>رنگ: سیلور (نقره ای)</t>
        </is>
      </c>
      <c r="N24" s="36" t="n">
        <v>4297</v>
      </c>
      <c r="O24" s="36" t="n">
        <v>4299</v>
      </c>
      <c r="P24" s="33" t="inlineStr">
        <is>
          <t>https://hosseinykala.ir/product/depoint-explore-twin-refrigerator-freezer/</t>
        </is>
      </c>
      <c r="Q24" s="36" t="n"/>
      <c r="R24" s="36" t="inlineStr">
        <is>
          <t>ثبت‌شده در سایت</t>
        </is>
      </c>
    </row>
    <row r="25" ht="21" customHeight="1" s="38">
      <c r="A25" s="34" t="inlineStr">
        <is>
          <t>یخچال و فریزر کمبی دیپوینت مدل دیسنت (Decent)</t>
        </is>
      </c>
      <c r="B25" s="24" t="n"/>
      <c r="C25" s="24">
        <f>IF(OR(B25="",B25=0),"",B25/10)</f>
        <v/>
      </c>
      <c r="D25" s="24" t="n"/>
      <c r="E25" s="44">
        <f>IF(ISNUMBER(D25),(B25-D25)/D25,"")</f>
        <v/>
      </c>
      <c r="F25" s="24" t="n"/>
      <c r="G25" s="24">
        <f>IF(OR(F25="",F25=0),"",F25/10)</f>
        <v/>
      </c>
      <c r="H25" s="26" t="inlineStr">
        <is>
          <t>✓ موجود</t>
        </is>
      </c>
      <c r="I25" s="26" t="inlineStr">
        <is>
          <t>یخچال و فریزر</t>
        </is>
      </c>
      <c r="J25" s="26" t="inlineStr">
        <is>
          <t>یخچال و فریزر دیپوینت</t>
        </is>
      </c>
      <c r="K25" s="26" t="inlineStr">
        <is>
          <t>دیپوینت</t>
        </is>
      </c>
      <c r="L25" s="26" t="inlineStr">
        <is>
          <t>متغیر</t>
        </is>
      </c>
      <c r="M25" s="26" t="inlineStr">
        <is>
          <t>شامل 2 تنوع</t>
        </is>
      </c>
      <c r="N25" s="26" t="n">
        <v>4302</v>
      </c>
      <c r="O25" s="26" t="n"/>
      <c r="P25" s="33" t="inlineStr">
        <is>
          <t>https://hosseinykala.ir/product/depoint-decent-combi-refrigerator-freezer/</t>
        </is>
      </c>
      <c r="Q25" s="26" t="n"/>
      <c r="R25" s="26" t="inlineStr">
        <is>
          <t>ثبت‌شده در سایت</t>
        </is>
      </c>
    </row>
    <row r="26" ht="18.95" customHeight="1" s="38">
      <c r="A26" s="35" t="inlineStr">
        <is>
          <t>↳ رنگ: سفید</t>
        </is>
      </c>
      <c r="B26" s="24" t="n">
        <v>1100000000</v>
      </c>
      <c r="C26" s="24">
        <f>IF(OR(ISBLANK(B26),B26=""),"",IF($L26="متغیر","⚠️ والد متغیر نباید قیمت داشته باشد",B26/10))</f>
        <v/>
      </c>
      <c r="D26" s="24" t="n">
        <v>1100000000</v>
      </c>
      <c r="E26" s="44">
        <f>IF(OR(ISBLANK(B26),B26="",ISBLANK(D26),D26="",D26&lt;=0,$L26="متغیر"),"",(B26-D26)/D26)</f>
        <v/>
      </c>
      <c r="F26" s="24" t="n">
        <v>1045000000</v>
      </c>
      <c r="G26" s="24">
        <f>IF(OR(ISBLANK(F26),F26=""),"",IF($L26="متغیر","",F26/10))</f>
        <v/>
      </c>
      <c r="H26" s="36" t="inlineStr">
        <is>
          <t>✓ موجود</t>
        </is>
      </c>
      <c r="I26" s="36" t="inlineStr">
        <is>
          <t>یخچال و فریزر</t>
        </is>
      </c>
      <c r="J26" s="36" t="inlineStr">
        <is>
          <t>یخچال و فریزر دیپوینت</t>
        </is>
      </c>
      <c r="K26" s="36" t="inlineStr">
        <is>
          <t>دیپوینت</t>
        </is>
      </c>
      <c r="L26" s="36" t="inlineStr">
        <is>
          <t>تنوع</t>
        </is>
      </c>
      <c r="M26" s="36" t="inlineStr">
        <is>
          <t>رنگ: سفید</t>
        </is>
      </c>
      <c r="N26" s="36" t="n">
        <v>4302</v>
      </c>
      <c r="O26" s="36" t="n">
        <v>4303</v>
      </c>
      <c r="P26" s="33" t="inlineStr">
        <is>
          <t>https://hosseinykala.ir/product/depoint-decent-combi-refrigerator-freezer/</t>
        </is>
      </c>
      <c r="Q26" s="36" t="n"/>
      <c r="R26" s="36" t="inlineStr">
        <is>
          <t>ثبت‌شده در سایت</t>
        </is>
      </c>
    </row>
    <row r="27" ht="18.95" customHeight="1" s="38">
      <c r="A27" s="35" t="inlineStr">
        <is>
          <t>↳ رنگ: استیل</t>
        </is>
      </c>
      <c r="B27" s="24" t="n">
        <v>1150000000</v>
      </c>
      <c r="C27" s="24">
        <f>IF(OR(ISBLANK(B27),B27=""),"",IF($L27="متغیر","⚠️ والد متغیر نباید قیمت داشته باشد",B27/10))</f>
        <v/>
      </c>
      <c r="D27" s="24" t="n">
        <v>1150000000</v>
      </c>
      <c r="E27" s="44">
        <f>IF(OR(ISBLANK(B27),B27="",ISBLANK(D27),D27="",D27&lt;=0,$L27="متغیر"),"",(B27-D27)/D27)</f>
        <v/>
      </c>
      <c r="F27" s="24" t="n">
        <v>1092500000</v>
      </c>
      <c r="G27" s="24">
        <f>IF(OR(ISBLANK(F27),F27=""),"",IF($L27="متغیر","",F27/10))</f>
        <v/>
      </c>
      <c r="H27" s="36" t="inlineStr">
        <is>
          <t>✗ ناموجود</t>
        </is>
      </c>
      <c r="I27" s="36" t="inlineStr">
        <is>
          <t>یخچال و فریزر</t>
        </is>
      </c>
      <c r="J27" s="36" t="inlineStr">
        <is>
          <t>یخچال و فریزر دیپوینت</t>
        </is>
      </c>
      <c r="K27" s="36" t="inlineStr">
        <is>
          <t>دیپوینت</t>
        </is>
      </c>
      <c r="L27" s="36" t="inlineStr">
        <is>
          <t>تنوع</t>
        </is>
      </c>
      <c r="M27" s="36" t="inlineStr">
        <is>
          <t>رنگ: استیل</t>
        </is>
      </c>
      <c r="N27" s="36" t="n">
        <v>4302</v>
      </c>
      <c r="O27" s="36" t="n">
        <v>4304</v>
      </c>
      <c r="P27" s="33" t="inlineStr">
        <is>
          <t>https://hosseinykala.ir/product/depoint-decent-combi-refrigerator-freezer/</t>
        </is>
      </c>
      <c r="Q27" s="36" t="n"/>
      <c r="R27" s="36" t="inlineStr">
        <is>
          <t>ثبت‌شده در سایت</t>
        </is>
      </c>
    </row>
    <row r="28" ht="21.95" customHeight="1" s="38">
      <c r="A28" s="39" t="inlineStr">
        <is>
          <t xml:space="preserve">  📂 یخچال و فریزر  ◀  هیمالیا</t>
        </is>
      </c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1" t="n"/>
    </row>
    <row r="29" ht="21" customHeight="1" s="38">
      <c r="A29" s="15" t="inlineStr">
        <is>
          <t>یخچال و فریزر دوقلو 28 فوت هیمالیا مدل آلفا NF280a-NR440a</t>
        </is>
      </c>
      <c r="B29" s="16" t="n"/>
      <c r="C29" s="16">
        <f>IF(OR(B29="",B29=0),"",B29/10)</f>
        <v/>
      </c>
      <c r="D29" s="16" t="n"/>
      <c r="E29" s="42">
        <f>IF(ISNUMBER(D29),(B29-D29)/D29,"")</f>
        <v/>
      </c>
      <c r="F29" s="16" t="n"/>
      <c r="G29" s="16">
        <f>IF(OR(F29="",F29=0),"",F29/10)</f>
        <v/>
      </c>
      <c r="H29" s="18" t="inlineStr">
        <is>
          <t>✓ موجود</t>
        </is>
      </c>
      <c r="I29" s="18" t="inlineStr">
        <is>
          <t>یخچال و فریزر</t>
        </is>
      </c>
      <c r="J29" s="18" t="inlineStr">
        <is>
          <t>یخچال و فریزر هیمالیا</t>
        </is>
      </c>
      <c r="K29" s="18" t="inlineStr">
        <is>
          <t>هیمالیا</t>
        </is>
      </c>
      <c r="L29" s="18" t="inlineStr">
        <is>
          <t>متغیر</t>
        </is>
      </c>
      <c r="M29" s="18" t="inlineStr">
        <is>
          <t>شامل 3 تنوع</t>
        </is>
      </c>
      <c r="N29" s="18" t="inlineStr">
        <is>
          <t>3395</t>
        </is>
      </c>
      <c r="O29" s="18" t="n"/>
      <c r="P29" s="31" t="inlineStr">
        <is>
          <t>https://hosseinykala.ir/?p=3395</t>
        </is>
      </c>
      <c r="Q29" s="18" t="n"/>
      <c r="R29" s="18" t="inlineStr">
        <is>
          <t>ثبت‌شده در سایت</t>
        </is>
      </c>
    </row>
    <row r="30" ht="18.95" customHeight="1" s="38">
      <c r="A30" s="19" t="inlineStr">
        <is>
          <t>↳ رنگ: سفید چرمی</t>
        </is>
      </c>
      <c r="B30" s="20" t="n">
        <v>3003000000</v>
      </c>
      <c r="C30" s="20">
        <f>IF(OR(ISBLANK(B30),B30=""),"",IF($L30="متغیر","⚠️ والد متغیر نباید قیمت داشته باشد",B30/10))</f>
        <v/>
      </c>
      <c r="D30" s="20" t="n">
        <v>3003000000</v>
      </c>
      <c r="E30" s="43">
        <f>IF(OR(ISBLANK(B30),B30="",ISBLANK(D30),D30="",D30&lt;=0,$L30="متغیر"),"",(B30-D30)/D30)</f>
        <v/>
      </c>
      <c r="F30" s="20" t="n">
        <v>2852850000</v>
      </c>
      <c r="G30" s="20">
        <f>IF(OR(ISBLANK(F30),F30=""),"",IF($L30="متغیر","",F30/10))</f>
        <v/>
      </c>
      <c r="H30" s="22" t="inlineStr">
        <is>
          <t>✓ موجود</t>
        </is>
      </c>
      <c r="I30" s="22" t="inlineStr">
        <is>
          <t>یخچال و فریزر</t>
        </is>
      </c>
      <c r="J30" s="22" t="inlineStr">
        <is>
          <t>یخچال و فریزر هیمالیا</t>
        </is>
      </c>
      <c r="K30" s="22" t="inlineStr">
        <is>
          <t>هیمالیا</t>
        </is>
      </c>
      <c r="L30" s="22" t="inlineStr">
        <is>
          <t>تنوع</t>
        </is>
      </c>
      <c r="M30" s="22" t="inlineStr">
        <is>
          <t>رنگ: سفید چرمی</t>
        </is>
      </c>
      <c r="N30" s="22" t="inlineStr">
        <is>
          <t>3395</t>
        </is>
      </c>
      <c r="O30" s="22" t="n">
        <v>3452</v>
      </c>
      <c r="P30" s="32" t="inlineStr">
        <is>
          <t>https://hosseinykala.ir/?p=3395</t>
        </is>
      </c>
      <c r="Q30" s="22" t="n"/>
      <c r="R30" s="22" t="inlineStr">
        <is>
          <t>ثبت‌شده در سایت</t>
        </is>
      </c>
    </row>
    <row r="31" ht="18.95" customHeight="1" s="38">
      <c r="A31" s="19" t="inlineStr">
        <is>
          <t>↳ رنگ: سفید متالیک</t>
        </is>
      </c>
      <c r="B31" s="20" t="n">
        <v>2897700000</v>
      </c>
      <c r="C31" s="20">
        <f>IF(OR(ISBLANK(B31),B31=""),"",IF($L31="متغیر","⚠️ والد متغیر نباید قیمت داشته باشد",B31/10))</f>
        <v/>
      </c>
      <c r="D31" s="20" t="n">
        <v>2897700000</v>
      </c>
      <c r="E31" s="43">
        <f>IF(OR(ISBLANK(B31),B31="",ISBLANK(D31),D31="",D31&lt;=0,$L31="متغیر"),"",(B31-D31)/D31)</f>
        <v/>
      </c>
      <c r="F31" s="20" t="n">
        <v>2752815000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یخچال و فریزر</t>
        </is>
      </c>
      <c r="J31" s="22" t="inlineStr">
        <is>
          <t>یخچال و فریزر هیمالیا</t>
        </is>
      </c>
      <c r="K31" s="22" t="inlineStr">
        <is>
          <t>هیمالیا</t>
        </is>
      </c>
      <c r="L31" s="22" t="inlineStr">
        <is>
          <t>تنوع</t>
        </is>
      </c>
      <c r="M31" s="22" t="inlineStr">
        <is>
          <t>رنگ: سفید متالیک</t>
        </is>
      </c>
      <c r="N31" s="22" t="inlineStr">
        <is>
          <t>3395</t>
        </is>
      </c>
      <c r="O31" s="22" t="n">
        <v>3451</v>
      </c>
      <c r="P31" s="32" t="inlineStr">
        <is>
          <t>https://hosseinykala.ir/?p=3395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رنگ: نقره ای</t>
        </is>
      </c>
      <c r="B32" s="20" t="n">
        <v>2860000000</v>
      </c>
      <c r="C32" s="20">
        <f>IF(OR(ISBLANK(B32),B32=""),"",IF($L32="متغیر","⚠️ والد متغیر نباید قیمت داشته باشد",B32/10))</f>
        <v/>
      </c>
      <c r="D32" s="20" t="n">
        <v>2860000000</v>
      </c>
      <c r="E32" s="43">
        <f>IF(OR(ISBLANK(B32),B32="",ISBLANK(D32),D32="",D32&lt;=0,$L32="متغیر"),"",(B32-D32)/D32)</f>
        <v/>
      </c>
      <c r="F32" s="20" t="n">
        <v>2717000000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یخچال و فریزر</t>
        </is>
      </c>
      <c r="J32" s="22" t="inlineStr">
        <is>
          <t>یخچال و فریزر هیمالیا</t>
        </is>
      </c>
      <c r="K32" s="22" t="inlineStr">
        <is>
          <t>هیمالیا</t>
        </is>
      </c>
      <c r="L32" s="22" t="inlineStr">
        <is>
          <t>تنوع</t>
        </is>
      </c>
      <c r="M32" s="22" t="inlineStr">
        <is>
          <t>رنگ: نقره ای</t>
        </is>
      </c>
      <c r="N32" s="22" t="inlineStr">
        <is>
          <t>3395</t>
        </is>
      </c>
      <c r="O32" s="22" t="n">
        <v>3450</v>
      </c>
      <c r="P32" s="32" t="inlineStr">
        <is>
          <t>https://hosseinykala.ir/?p=3395</t>
        </is>
      </c>
      <c r="Q32" s="22" t="n"/>
      <c r="R32" s="22" t="inlineStr">
        <is>
          <t>ثبت‌شده در سایت</t>
        </is>
      </c>
    </row>
    <row r="33" ht="21" customHeight="1" s="38">
      <c r="A33" s="15" t="inlineStr">
        <is>
          <t>یخچال و فریزر دوقلو هیمالیا مدل آیس پول 60MW</t>
        </is>
      </c>
      <c r="B33" s="16" t="n"/>
      <c r="C33" s="16">
        <f>IF(OR(B33="",B33=0),"",B33/10)</f>
        <v/>
      </c>
      <c r="D33" s="16" t="n"/>
      <c r="E33" s="42">
        <f>IF(ISNUMBER(D33),(B33-D33)/D33,"")</f>
        <v/>
      </c>
      <c r="F33" s="16" t="n"/>
      <c r="G33" s="16">
        <f>IF(OR(F33="",F33=0),"",F33/10)</f>
        <v/>
      </c>
      <c r="H33" s="18" t="inlineStr">
        <is>
          <t>✓ موجود</t>
        </is>
      </c>
      <c r="I33" s="18" t="inlineStr">
        <is>
          <t>یخچال و فریزر</t>
        </is>
      </c>
      <c r="J33" s="18" t="inlineStr">
        <is>
          <t>یخچال و فریزر هیمالیا</t>
        </is>
      </c>
      <c r="K33" s="18" t="inlineStr">
        <is>
          <t>هیمالیا</t>
        </is>
      </c>
      <c r="L33" s="18" t="inlineStr">
        <is>
          <t>متغیر</t>
        </is>
      </c>
      <c r="M33" s="18" t="inlineStr">
        <is>
          <t>شامل 2 تنوع</t>
        </is>
      </c>
      <c r="N33" s="18" t="inlineStr">
        <is>
          <t>3994</t>
        </is>
      </c>
      <c r="O33" s="18" t="n"/>
      <c r="P33" s="31" t="inlineStr">
        <is>
          <t>https://hosseinykala.ir/product/himalia-ice-pool-60mw-twin-refrigerator/</t>
        </is>
      </c>
      <c r="Q33" s="18" t="n"/>
      <c r="R33" s="18" t="inlineStr">
        <is>
          <t>ثبت‌شده در سایت</t>
        </is>
      </c>
    </row>
    <row r="34" ht="18.95" customHeight="1" s="38">
      <c r="A34" s="19" t="inlineStr">
        <is>
          <t>↳ رنگ: استیل</t>
        </is>
      </c>
      <c r="B34" s="20" t="n">
        <v>2350000000</v>
      </c>
      <c r="C34" s="20">
        <f>IF(OR(ISBLANK(B34),B34=""),"",IF($L34="متغیر","⚠️ والد متغیر نباید قیمت داشته باشد",B34/10))</f>
        <v/>
      </c>
      <c r="D34" s="20" t="n">
        <v>2350000000</v>
      </c>
      <c r="E34" s="43">
        <f>IF(OR(ISBLANK(B34),B34="",ISBLANK(D34),D34="",D34&lt;=0,$L34="متغیر"),"",(B34-D34)/D34)</f>
        <v/>
      </c>
      <c r="F34" s="20" t="n">
        <v>2232500000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یخچال و فریزر</t>
        </is>
      </c>
      <c r="J34" s="22" t="inlineStr">
        <is>
          <t>یخچال و فریزر هیمالیا</t>
        </is>
      </c>
      <c r="K34" s="22" t="inlineStr">
        <is>
          <t>هیمالیا</t>
        </is>
      </c>
      <c r="L34" s="22" t="inlineStr">
        <is>
          <t>تنوع</t>
        </is>
      </c>
      <c r="M34" s="22" t="inlineStr">
        <is>
          <t>رنگ: استیل</t>
        </is>
      </c>
      <c r="N34" s="22" t="inlineStr">
        <is>
          <t>3994</t>
        </is>
      </c>
      <c r="O34" s="22" t="n">
        <v>3995</v>
      </c>
      <c r="P34" s="32" t="inlineStr">
        <is>
          <t>https://hosseinykala.ir/product/himalia-ice-pool-60mw-twin-refrigerator/</t>
        </is>
      </c>
      <c r="Q34" s="22" t="n"/>
      <c r="R34" s="22" t="inlineStr">
        <is>
          <t>ثبت‌شده در سایت</t>
        </is>
      </c>
    </row>
    <row r="35" ht="18.95" customHeight="1" s="38">
      <c r="A35" s="19" t="inlineStr">
        <is>
          <t>↳ رنگ: سفید چرمی</t>
        </is>
      </c>
      <c r="B35" s="20" t="n">
        <v>2300000000</v>
      </c>
      <c r="C35" s="20">
        <f>IF(OR(ISBLANK(B35),B35=""),"",IF($L35="متغیر","⚠️ والد متغیر نباید قیمت داشته باشد",B35/10))</f>
        <v/>
      </c>
      <c r="D35" s="20" t="n">
        <v>2300000000</v>
      </c>
      <c r="E35" s="43">
        <f>IF(OR(ISBLANK(B35),B35="",ISBLANK(D35),D35="",D35&lt;=0,$L35="متغیر"),"",(B35-D35)/D35)</f>
        <v/>
      </c>
      <c r="F35" s="20" t="n">
        <v>2185000000</v>
      </c>
      <c r="G35" s="20">
        <f>IF(OR(ISBLANK(F35),F35=""),"",IF($L35="متغیر","",F35/10))</f>
        <v/>
      </c>
      <c r="H35" s="22" t="inlineStr">
        <is>
          <t>✓ موجود</t>
        </is>
      </c>
      <c r="I35" s="22" t="inlineStr">
        <is>
          <t>یخچال و فریزر</t>
        </is>
      </c>
      <c r="J35" s="22" t="inlineStr">
        <is>
          <t>یخچال و فریزر هیمالیا</t>
        </is>
      </c>
      <c r="K35" s="22" t="inlineStr">
        <is>
          <t>هیمالیا</t>
        </is>
      </c>
      <c r="L35" s="22" t="inlineStr">
        <is>
          <t>تنوع</t>
        </is>
      </c>
      <c r="M35" s="22" t="inlineStr">
        <is>
          <t>رنگ: سفید چرمی</t>
        </is>
      </c>
      <c r="N35" s="22" t="inlineStr">
        <is>
          <t>3994</t>
        </is>
      </c>
      <c r="O35" s="22" t="n">
        <v>3996</v>
      </c>
      <c r="P35" s="32" t="inlineStr">
        <is>
          <t>https://hosseinykala.ir/product/himalia-ice-pool-60mw-twin-refrigerator/</t>
        </is>
      </c>
      <c r="Q35" s="22" t="n"/>
      <c r="R35" s="22" t="inlineStr">
        <is>
          <t>ثبت‌شده در سایت</t>
        </is>
      </c>
    </row>
    <row r="36" ht="21" customHeight="1" s="38">
      <c r="A36" s="23" t="inlineStr">
        <is>
          <t>یخچال و فریزر هیمالیا مدل 5 کاره هوم بار چرمی 60MW</t>
        </is>
      </c>
      <c r="B36" s="24" t="n"/>
      <c r="C36" s="24">
        <f>IF(OR(ISBLANK(B36),B36=""),"",IF($L36="متغیر","⚠️ والد متغیر نباید قیمت داشته باشد",B36/10))</f>
        <v/>
      </c>
      <c r="D36" s="24" t="n"/>
      <c r="E36" s="44">
        <f>IF(OR(ISBLANK(B36),B36="",ISBLANK(D36),D36="",D36&lt;=0,$L36="متغیر"),"",(B36-D36)/D36)</f>
        <v/>
      </c>
      <c r="F36" s="24" t="n"/>
      <c r="G36" s="24">
        <f>IF(OR(ISBLANK(F36),F36=""),"",IF($L36="متغیر","",F36/10))</f>
        <v/>
      </c>
      <c r="H36" s="26" t="inlineStr">
        <is>
          <t>✗ ناموجود</t>
        </is>
      </c>
      <c r="I36" s="26" t="inlineStr">
        <is>
          <t>یخچال و فریزر</t>
        </is>
      </c>
      <c r="J36" s="26" t="inlineStr">
        <is>
          <t>یخچال و فریزر هیمالیا</t>
        </is>
      </c>
      <c r="K36" s="26" t="inlineStr">
        <is>
          <t>هیمالیا</t>
        </is>
      </c>
      <c r="L36" s="26" t="inlineStr">
        <is>
          <t>ساده</t>
        </is>
      </c>
      <c r="M36" s="26" t="n"/>
      <c r="N36" s="26" t="n"/>
      <c r="O36" s="26" t="n"/>
      <c r="P36" s="33" t="n"/>
      <c r="Q36" s="26" t="n"/>
      <c r="R36" s="26" t="inlineStr">
        <is>
          <t>فعلا دست نگه دار</t>
        </is>
      </c>
    </row>
    <row r="37" ht="21" customHeight="1" s="38">
      <c r="A37" s="23" t="inlineStr">
        <is>
          <t>یخچال و فریزر هیمالیا مدل امگا (Omega) هوم بار سفید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یخچال و فریزر</t>
        </is>
      </c>
      <c r="J37" s="26" t="inlineStr">
        <is>
          <t>یخچال و فریزر هیمالیا</t>
        </is>
      </c>
      <c r="K37" s="26" t="inlineStr">
        <is>
          <t>هیمالیا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" customHeight="1" s="38">
      <c r="A38" s="23" t="inlineStr">
        <is>
          <t>یخچال و فریزر کمبی هیمالیا عرض 850 تیتانیوم مدل 70-30</t>
        </is>
      </c>
      <c r="B38" s="24" t="n"/>
      <c r="C38" s="24">
        <f>IF(OR(ISBLANK(B38),B38=""),"",IF($L38="متغیر","⚠️ والد متغیر نباید قیمت داشته باشد",B38/10))</f>
        <v/>
      </c>
      <c r="D38" s="24" t="n"/>
      <c r="E38" s="44">
        <f>IF(OR(ISBLANK(B38),B38="",ISBLANK(D38),D38="",D38&lt;=0,$L38="متغیر"),"",(B38-D38)/D38)</f>
        <v/>
      </c>
      <c r="F38" s="24" t="n"/>
      <c r="G38" s="24">
        <f>IF(OR(ISBLANK(F38),F38=""),"",IF($L38="متغیر","",F38/10))</f>
        <v/>
      </c>
      <c r="H38" s="26" t="inlineStr">
        <is>
          <t>✗ ناموجود</t>
        </is>
      </c>
      <c r="I38" s="26" t="inlineStr">
        <is>
          <t>یخچال و فریزر</t>
        </is>
      </c>
      <c r="J38" s="26" t="inlineStr">
        <is>
          <t>یخچال و فریزر هیمالیا</t>
        </is>
      </c>
      <c r="K38" s="26" t="inlineStr">
        <is>
          <t>هیمالیا</t>
        </is>
      </c>
      <c r="L38" s="26" t="inlineStr">
        <is>
          <t>ساده</t>
        </is>
      </c>
      <c r="M38" s="26" t="n"/>
      <c r="N38" s="26" t="n"/>
      <c r="O38" s="26" t="n"/>
      <c r="P38" s="33" t="n"/>
      <c r="Q38" s="26" t="n"/>
      <c r="R38" s="26" t="inlineStr">
        <is>
          <t>فعلا دست نگه دار</t>
        </is>
      </c>
    </row>
    <row r="39" ht="21.95" customHeight="1" s="38">
      <c r="A39" s="39" t="inlineStr">
        <is>
          <t xml:space="preserve">  📂 یخچال و فریزر  ◀  کلور</t>
        </is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1" t="n"/>
    </row>
    <row r="40" ht="21" customHeight="1" s="38">
      <c r="A40" s="23" t="inlineStr">
        <is>
          <t>یخچال فریزر گلوری پلاس دوقلو کلور54 فوت</t>
        </is>
      </c>
      <c r="B40" s="24" t="n">
        <v>3770000000</v>
      </c>
      <c r="C40" s="24">
        <f>IF(OR(ISBLANK(B40),B40=""),"",IF($L40="متغیر","⚠️ والد متغیر نباید قیمت داشته باشد",B40/10))</f>
        <v/>
      </c>
      <c r="D40" s="24" t="n">
        <v>3770000000</v>
      </c>
      <c r="E40" s="44">
        <f>IF(OR(ISBLANK(B40),B40="",ISBLANK(D40),D40="",D40&lt;=0,$L40="متغیر"),"",(B40-D40)/D40)</f>
        <v/>
      </c>
      <c r="F40" s="24" t="n">
        <v>3581500000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یخچال و فریزر</t>
        </is>
      </c>
      <c r="J40" s="26" t="inlineStr">
        <is>
          <t>یخچال و فریزر کلور</t>
        </is>
      </c>
      <c r="K40" s="26" t="inlineStr">
        <is>
          <t>کلور</t>
        </is>
      </c>
      <c r="L40" s="26" t="inlineStr">
        <is>
          <t>ساده</t>
        </is>
      </c>
      <c r="M40" s="26" t="n"/>
      <c r="N40" s="26" t="inlineStr">
        <is>
          <t>2972</t>
        </is>
      </c>
      <c r="O40" s="26" t="n"/>
      <c r="P40" s="33" t="inlineStr">
        <is>
          <t>https://hosseinykala.ir/?p=2972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یخچال و فریزر 27 فوت کلور مدل كمبي هوم بار روسو</t>
        </is>
      </c>
      <c r="B41" s="24" t="n">
        <v>1600000000</v>
      </c>
      <c r="C41" s="24">
        <f>IF(OR(ISBLANK(B41),B41=""),"",IF($L41="متغیر","⚠️ والد متغیر نباید قیمت داشته باشد",B41/10))</f>
        <v/>
      </c>
      <c r="D41" s="24" t="n">
        <v>1600000000</v>
      </c>
      <c r="E41" s="44">
        <f>IF(OR(ISBLANK(B41),B41="",ISBLANK(D41),D41="",D41&lt;=0,$L41="متغیر"),"",(B41-D41)/D41)</f>
        <v/>
      </c>
      <c r="F41" s="24" t="n">
        <v>1520000000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یخچال و فریزر</t>
        </is>
      </c>
      <c r="J41" s="26" t="inlineStr">
        <is>
          <t>یخچال و فریزر کلور</t>
        </is>
      </c>
      <c r="K41" s="26" t="inlineStr">
        <is>
          <t>کلور</t>
        </is>
      </c>
      <c r="L41" s="26" t="inlineStr">
        <is>
          <t>ساده</t>
        </is>
      </c>
      <c r="M41" s="26" t="n"/>
      <c r="N41" s="26" t="inlineStr">
        <is>
          <t>2484</t>
        </is>
      </c>
      <c r="O41" s="26" t="n"/>
      <c r="P41" s="33" t="inlineStr">
        <is>
          <t>https://hosseinykala.ir/?p=2484</t>
        </is>
      </c>
      <c r="Q41" s="26" t="n"/>
      <c r="R41" s="26" t="inlineStr">
        <is>
          <t>ثبت‌شده در سایت</t>
        </is>
      </c>
    </row>
    <row r="42" ht="21" customHeight="1" s="38">
      <c r="A42" s="15" t="inlineStr">
        <is>
          <t>یخچال فریزر دوقلو 40 فوت کلور مدل گلوری عرض 60</t>
        </is>
      </c>
      <c r="B42" s="16" t="n"/>
      <c r="C42" s="16">
        <f>IF(OR(B42="",B42=0),"",B42/10)</f>
        <v/>
      </c>
      <c r="D42" s="16" t="n"/>
      <c r="E42" s="42">
        <f>IF(ISNUMBER(D42),(B42-D42)/D42,"")</f>
        <v/>
      </c>
      <c r="F42" s="16" t="n"/>
      <c r="G42" s="16">
        <f>IF(OR(F42="",F42=0),"",F42/10)</f>
        <v/>
      </c>
      <c r="H42" s="18" t="inlineStr">
        <is>
          <t>✓ موجود</t>
        </is>
      </c>
      <c r="I42" s="18" t="inlineStr">
        <is>
          <t>یخچال و فریزر</t>
        </is>
      </c>
      <c r="J42" s="18" t="inlineStr">
        <is>
          <t>یخچال و فریزر کلور</t>
        </is>
      </c>
      <c r="K42" s="18" t="inlineStr">
        <is>
          <t>کلور</t>
        </is>
      </c>
      <c r="L42" s="18" t="inlineStr">
        <is>
          <t>متغیر</t>
        </is>
      </c>
      <c r="M42" s="18" t="inlineStr">
        <is>
          <t>شامل 2 تنوع</t>
        </is>
      </c>
      <c r="N42" s="18" t="inlineStr">
        <is>
          <t>2471</t>
        </is>
      </c>
      <c r="O42" s="18" t="n"/>
      <c r="P42" s="31" t="inlineStr">
        <is>
          <t>https://hosseinykala.ir/?p=2471</t>
        </is>
      </c>
      <c r="Q42" s="18" t="n"/>
      <c r="R42" s="18" t="inlineStr">
        <is>
          <t>ثبت‌شده در سایت</t>
        </is>
      </c>
    </row>
    <row r="43" ht="18.95" customHeight="1" s="38">
      <c r="A43" s="19" t="inlineStr">
        <is>
          <t>↳ رنگ: استیل</t>
        </is>
      </c>
      <c r="B43" s="20" t="n">
        <v>3150000000</v>
      </c>
      <c r="C43" s="20">
        <f>IF(OR(ISBLANK(B43),B43=""),"",IF($L43="متغیر","⚠️ والد متغیر نباید قیمت داشته باشد",B43/10))</f>
        <v/>
      </c>
      <c r="D43" s="20" t="n">
        <v>3150000000</v>
      </c>
      <c r="E43" s="43">
        <f>IF(OR(ISBLANK(B43),B43="",ISBLANK(D43),D43="",D43&lt;=0,$L43="متغیر"),"",(B43-D43)/D43)</f>
        <v/>
      </c>
      <c r="F43" s="20" t="n">
        <v>2992500000</v>
      </c>
      <c r="G43" s="20">
        <f>IF(OR(ISBLANK(F43),F43=""),"",IF($L43="متغیر","",F43/10))</f>
        <v/>
      </c>
      <c r="H43" s="22" t="inlineStr">
        <is>
          <t>✓ موجود</t>
        </is>
      </c>
      <c r="I43" s="22" t="inlineStr">
        <is>
          <t>یخچال و فریزر</t>
        </is>
      </c>
      <c r="J43" s="22" t="inlineStr">
        <is>
          <t>یخچال و فریزر کلور</t>
        </is>
      </c>
      <c r="K43" s="22" t="inlineStr">
        <is>
          <t>کلور</t>
        </is>
      </c>
      <c r="L43" s="22" t="inlineStr">
        <is>
          <t>تنوع</t>
        </is>
      </c>
      <c r="M43" s="22" t="inlineStr">
        <is>
          <t>رنگ: استیل</t>
        </is>
      </c>
      <c r="N43" s="22" t="inlineStr">
        <is>
          <t>2471</t>
        </is>
      </c>
      <c r="O43" s="22" t="n">
        <v>2476</v>
      </c>
      <c r="P43" s="32" t="inlineStr">
        <is>
          <t>https://hosseinykala.ir/?p=2471</t>
        </is>
      </c>
      <c r="Q43" s="22" t="n"/>
      <c r="R43" s="22" t="inlineStr">
        <is>
          <t>ثبت‌شده در سایت</t>
        </is>
      </c>
    </row>
    <row r="44" ht="18.95" customHeight="1" s="38">
      <c r="A44" s="19" t="inlineStr">
        <is>
          <t>↳ رنگ: سفید</t>
        </is>
      </c>
      <c r="B44" s="20" t="n">
        <v>3100000000</v>
      </c>
      <c r="C44" s="20">
        <f>IF(OR(ISBLANK(B44),B44=""),"",IF($L44="متغیر","⚠️ والد متغیر نباید قیمت داشته باشد",B44/10))</f>
        <v/>
      </c>
      <c r="D44" s="20" t="n">
        <v>3100000000</v>
      </c>
      <c r="E44" s="43">
        <f>IF(OR(ISBLANK(B44),B44="",ISBLANK(D44),D44="",D44&lt;=0,$L44="متغیر"),"",(B44-D44)/D44)</f>
        <v/>
      </c>
      <c r="F44" s="20" t="n">
        <v>2945000000</v>
      </c>
      <c r="G44" s="20">
        <f>IF(OR(ISBLANK(F44),F44=""),"",IF($L44="متغیر","",F44/10))</f>
        <v/>
      </c>
      <c r="H44" s="22" t="inlineStr">
        <is>
          <t>✓ موجود</t>
        </is>
      </c>
      <c r="I44" s="22" t="inlineStr">
        <is>
          <t>یخچال و فریزر</t>
        </is>
      </c>
      <c r="J44" s="22" t="inlineStr">
        <is>
          <t>یخچال و فریزر کلور</t>
        </is>
      </c>
      <c r="K44" s="22" t="inlineStr">
        <is>
          <t>کلور</t>
        </is>
      </c>
      <c r="L44" s="22" t="inlineStr">
        <is>
          <t>تنوع</t>
        </is>
      </c>
      <c r="M44" s="22" t="inlineStr">
        <is>
          <t>رنگ: سفید</t>
        </is>
      </c>
      <c r="N44" s="22" t="inlineStr">
        <is>
          <t>2471</t>
        </is>
      </c>
      <c r="O44" s="22" t="n">
        <v>2475</v>
      </c>
      <c r="P44" s="32" t="inlineStr">
        <is>
          <t>https://hosseinykala.ir/?p=2471</t>
        </is>
      </c>
      <c r="Q44" s="22" t="n"/>
      <c r="R44" s="22" t="inlineStr">
        <is>
          <t>ثبت‌شده در سایت</t>
        </is>
      </c>
    </row>
    <row r="45" ht="21" customHeight="1" s="38">
      <c r="A45" s="15" t="inlineStr">
        <is>
          <t>یخچال فریزر دوقلو 44 فوت کلور مدل 54 فوت glory plus-lm70</t>
        </is>
      </c>
      <c r="B45" s="16" t="n"/>
      <c r="C45" s="16">
        <f>IF(OR(B45="",B45=0),"",B45/10)</f>
        <v/>
      </c>
      <c r="D45" s="16" t="n"/>
      <c r="E45" s="42">
        <f>IF(ISNUMBER(D45),(B45-D45)/D45,"")</f>
        <v/>
      </c>
      <c r="F45" s="16" t="n"/>
      <c r="G45" s="16">
        <f>IF(OR(F45="",F45=0),"",F45/10)</f>
        <v/>
      </c>
      <c r="H45" s="18" t="inlineStr">
        <is>
          <t>✓ موجود</t>
        </is>
      </c>
      <c r="I45" s="18" t="inlineStr">
        <is>
          <t>یخچال و فریزر</t>
        </is>
      </c>
      <c r="J45" s="18" t="inlineStr">
        <is>
          <t>یخچال و فریزر کلور</t>
        </is>
      </c>
      <c r="K45" s="18" t="inlineStr">
        <is>
          <t>کلور</t>
        </is>
      </c>
      <c r="L45" s="18" t="inlineStr">
        <is>
          <t>متغیر</t>
        </is>
      </c>
      <c r="M45" s="18" t="inlineStr">
        <is>
          <t>شامل 2 تنوع</t>
        </is>
      </c>
      <c r="N45" s="18" t="inlineStr">
        <is>
          <t>2464</t>
        </is>
      </c>
      <c r="O45" s="18" t="n"/>
      <c r="P45" s="31" t="inlineStr">
        <is>
          <t>https://hosseinykala.ir/?p=2464</t>
        </is>
      </c>
      <c r="Q45" s="18" t="n"/>
      <c r="R45" s="18" t="inlineStr">
        <is>
          <t>ثبت‌شده در سایت</t>
        </is>
      </c>
    </row>
    <row r="46" ht="18.95" customHeight="1" s="38">
      <c r="A46" s="19" t="inlineStr">
        <is>
          <t>↳ رنگ: سفید</t>
        </is>
      </c>
      <c r="B46" s="20" t="n">
        <v>3600000000</v>
      </c>
      <c r="C46" s="20">
        <f>IF(OR(ISBLANK(B46),B46=""),"",IF($L46="متغیر","⚠️ والد متغیر نباید قیمت داشته باشد",B46/10))</f>
        <v/>
      </c>
      <c r="D46" s="20" t="n">
        <v>3600000000</v>
      </c>
      <c r="E46" s="43">
        <f>IF(OR(ISBLANK(B46),B46="",ISBLANK(D46),D46="",D46&lt;=0,$L46="متغیر"),"",(B46-D46)/D46)</f>
        <v/>
      </c>
      <c r="F46" s="20" t="n">
        <v>3420000000</v>
      </c>
      <c r="G46" s="20">
        <f>IF(OR(ISBLANK(F46),F46=""),"",IF($L46="متغیر","",F46/10))</f>
        <v/>
      </c>
      <c r="H46" s="22" t="inlineStr">
        <is>
          <t>✓ موجود</t>
        </is>
      </c>
      <c r="I46" s="22" t="inlineStr">
        <is>
          <t>یخچال و فریزر</t>
        </is>
      </c>
      <c r="J46" s="22" t="inlineStr">
        <is>
          <t>یخچال و فریزر کلور</t>
        </is>
      </c>
      <c r="K46" s="22" t="inlineStr">
        <is>
          <t>کلور</t>
        </is>
      </c>
      <c r="L46" s="22" t="inlineStr">
        <is>
          <t>تنوع</t>
        </is>
      </c>
      <c r="M46" s="22" t="inlineStr">
        <is>
          <t>رنگ: سفید</t>
        </is>
      </c>
      <c r="N46" s="22" t="inlineStr">
        <is>
          <t>2464</t>
        </is>
      </c>
      <c r="O46" s="22" t="n">
        <v>2470</v>
      </c>
      <c r="P46" s="32" t="inlineStr">
        <is>
          <t>https://hosseinykala.ir/?p=2464</t>
        </is>
      </c>
      <c r="Q46" s="22" t="n"/>
      <c r="R46" s="22" t="inlineStr">
        <is>
          <t>ثبت‌شده در سایت</t>
        </is>
      </c>
    </row>
    <row r="47" ht="18.95" customHeight="1" s="38">
      <c r="A47" s="19" t="inlineStr">
        <is>
          <t>↳ رنگ: استیل</t>
        </is>
      </c>
      <c r="B47" s="20" t="n">
        <v>3700000000</v>
      </c>
      <c r="C47" s="20">
        <f>IF(OR(ISBLANK(B47),B47=""),"",IF($L47="متغیر","⚠️ والد متغیر نباید قیمت داشته باشد",B47/10))</f>
        <v/>
      </c>
      <c r="D47" s="20" t="n">
        <v>3700000000</v>
      </c>
      <c r="E47" s="43">
        <f>IF(OR(ISBLANK(B47),B47="",ISBLANK(D47),D47="",D47&lt;=0,$L47="متغیر"),"",(B47-D47)/D47)</f>
        <v/>
      </c>
      <c r="F47" s="20" t="n">
        <v>3515000000</v>
      </c>
      <c r="G47" s="20">
        <f>IF(OR(ISBLANK(F47),F47=""),"",IF($L47="متغیر","",F47/10))</f>
        <v/>
      </c>
      <c r="H47" s="22" t="inlineStr">
        <is>
          <t>✓ موجود</t>
        </is>
      </c>
      <c r="I47" s="22" t="inlineStr">
        <is>
          <t>یخچال و فریزر</t>
        </is>
      </c>
      <c r="J47" s="22" t="inlineStr">
        <is>
          <t>یخچال و فریزر کلور</t>
        </is>
      </c>
      <c r="K47" s="22" t="inlineStr">
        <is>
          <t>کلور</t>
        </is>
      </c>
      <c r="L47" s="22" t="inlineStr">
        <is>
          <t>تنوع</t>
        </is>
      </c>
      <c r="M47" s="22" t="inlineStr">
        <is>
          <t>رنگ: استیل</t>
        </is>
      </c>
      <c r="N47" s="22" t="inlineStr">
        <is>
          <t>2464</t>
        </is>
      </c>
      <c r="O47" s="22" t="n">
        <v>2469</v>
      </c>
      <c r="P47" s="32" t="inlineStr">
        <is>
          <t>https://hosseinykala.ir/?p=2464</t>
        </is>
      </c>
      <c r="Q47" s="22" t="n"/>
      <c r="R47" s="22" t="inlineStr">
        <is>
          <t>ثبت‌شده در سایت</t>
        </is>
      </c>
    </row>
    <row r="48" ht="21" customHeight="1" s="38">
      <c r="A48" s="15" t="inlineStr">
        <is>
          <t>یخچال فریزر دوقلو 40 فوت کلور مدل رسوپلاس عرض 60</t>
        </is>
      </c>
      <c r="B48" s="16" t="n"/>
      <c r="C48" s="16">
        <f>IF(OR(B48="",B48=0),"",B48/10)</f>
        <v/>
      </c>
      <c r="D48" s="16" t="n"/>
      <c r="E48" s="42">
        <f>IF(ISNUMBER(D48),(B48-D48)/D48,"")</f>
        <v/>
      </c>
      <c r="F48" s="16" t="n"/>
      <c r="G48" s="16">
        <f>IF(OR(F48="",F48=0),"",F48/10)</f>
        <v/>
      </c>
      <c r="H48" s="18" t="inlineStr">
        <is>
          <t>✓ موجود</t>
        </is>
      </c>
      <c r="I48" s="18" t="inlineStr">
        <is>
          <t>یخچال و فریزر</t>
        </is>
      </c>
      <c r="J48" s="18" t="inlineStr">
        <is>
          <t>یخچال و فریزر کلور</t>
        </is>
      </c>
      <c r="K48" s="18" t="inlineStr">
        <is>
          <t>کلور</t>
        </is>
      </c>
      <c r="L48" s="18" t="inlineStr">
        <is>
          <t>متغیر</t>
        </is>
      </c>
      <c r="M48" s="18" t="inlineStr">
        <is>
          <t>شامل 3 تنوع</t>
        </is>
      </c>
      <c r="N48" s="18" t="inlineStr">
        <is>
          <t>2457</t>
        </is>
      </c>
      <c r="O48" s="18" t="n"/>
      <c r="P48" s="31" t="inlineStr">
        <is>
          <t>https://hosseinykala.ir/?p=2457</t>
        </is>
      </c>
      <c r="Q48" s="18" t="n"/>
      <c r="R48" s="18" t="inlineStr">
        <is>
          <t>ثبت‌شده در سایت</t>
        </is>
      </c>
    </row>
    <row r="49" ht="18.95" customHeight="1" s="38">
      <c r="A49" s="19" t="inlineStr">
        <is>
          <t>↳ رنگ: مشکی</t>
        </is>
      </c>
      <c r="B49" s="20" t="n">
        <v>3600000000</v>
      </c>
      <c r="C49" s="20">
        <f>IF(OR(ISBLANK(B49),B49=""),"",IF($L49="متغیر","⚠️ والد متغیر نباید قیمت داشته باشد",B49/10))</f>
        <v/>
      </c>
      <c r="D49" s="20" t="n">
        <v>3600000000</v>
      </c>
      <c r="E49" s="43">
        <f>IF(OR(ISBLANK(B49),B49="",ISBLANK(D49),D49="",D49&lt;=0,$L49="متغیر"),"",(B49-D49)/D49)</f>
        <v/>
      </c>
      <c r="F49" s="20" t="n">
        <v>3420000000</v>
      </c>
      <c r="G49" s="20">
        <f>IF(OR(ISBLANK(F49),F49=""),"",IF($L49="متغیر","",F49/10))</f>
        <v/>
      </c>
      <c r="H49" s="22" t="inlineStr">
        <is>
          <t>✓ موجود</t>
        </is>
      </c>
      <c r="I49" s="22" t="inlineStr">
        <is>
          <t>یخچال و فریزر</t>
        </is>
      </c>
      <c r="J49" s="22" t="inlineStr">
        <is>
          <t>یخچال و فریزر کلور</t>
        </is>
      </c>
      <c r="K49" s="22" t="inlineStr">
        <is>
          <t>کلور</t>
        </is>
      </c>
      <c r="L49" s="22" t="inlineStr">
        <is>
          <t>تنوع</t>
        </is>
      </c>
      <c r="M49" s="22" t="inlineStr">
        <is>
          <t>رنگ: مشکی</t>
        </is>
      </c>
      <c r="N49" s="22" t="inlineStr">
        <is>
          <t>2457</t>
        </is>
      </c>
      <c r="O49" s="22" t="n">
        <v>2463</v>
      </c>
      <c r="P49" s="32" t="inlineStr">
        <is>
          <t>https://hosseinykala.ir/?p=2457</t>
        </is>
      </c>
      <c r="Q49" s="22" t="n"/>
      <c r="R49" s="22" t="inlineStr">
        <is>
          <t>ثبت‌شده در سایت</t>
        </is>
      </c>
    </row>
    <row r="50" ht="18.95" customHeight="1" s="38">
      <c r="A50" s="19" t="inlineStr">
        <is>
          <t>↳ رنگ: استیل</t>
        </is>
      </c>
      <c r="B50" s="20" t="n">
        <v>3200000000</v>
      </c>
      <c r="C50" s="20">
        <f>IF(OR(ISBLANK(B50),B50=""),"",IF($L50="متغیر","⚠️ والد متغیر نباید قیمت داشته باشد",B50/10))</f>
        <v/>
      </c>
      <c r="D50" s="20" t="n">
        <v>3200000000</v>
      </c>
      <c r="E50" s="43">
        <f>IF(OR(ISBLANK(B50),B50="",ISBLANK(D50),D50="",D50&lt;=0,$L50="متغیر"),"",(B50-D50)/D50)</f>
        <v/>
      </c>
      <c r="F50" s="20" t="n">
        <v>3040000000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یخچال و فریزر</t>
        </is>
      </c>
      <c r="J50" s="22" t="inlineStr">
        <is>
          <t>یخچال و فریزر کلور</t>
        </is>
      </c>
      <c r="K50" s="22" t="inlineStr">
        <is>
          <t>کلور</t>
        </is>
      </c>
      <c r="L50" s="22" t="inlineStr">
        <is>
          <t>تنوع</t>
        </is>
      </c>
      <c r="M50" s="22" t="inlineStr">
        <is>
          <t>رنگ: استیل</t>
        </is>
      </c>
      <c r="N50" s="22" t="inlineStr">
        <is>
          <t>2457</t>
        </is>
      </c>
      <c r="O50" s="22" t="n">
        <v>2462</v>
      </c>
      <c r="P50" s="32" t="inlineStr">
        <is>
          <t>https://hosseinykala.ir/?p=2457</t>
        </is>
      </c>
      <c r="Q50" s="22" t="n"/>
      <c r="R50" s="22" t="inlineStr">
        <is>
          <t>ثبت‌شده در سایت</t>
        </is>
      </c>
    </row>
    <row r="51" ht="18.95" customHeight="1" s="38">
      <c r="A51" s="19" t="inlineStr">
        <is>
          <t>↳ رنگ: سفید</t>
        </is>
      </c>
      <c r="B51" s="20" t="n">
        <v>3100000000</v>
      </c>
      <c r="C51" s="20">
        <f>IF(OR(ISBLANK(B51),B51=""),"",IF($L51="متغیر","⚠️ والد متغیر نباید قیمت داشته باشد",B51/10))</f>
        <v/>
      </c>
      <c r="D51" s="20" t="n">
        <v>3100000000</v>
      </c>
      <c r="E51" s="43">
        <f>IF(OR(ISBLANK(B51),B51="",ISBLANK(D51),D51="",D51&lt;=0,$L51="متغیر"),"",(B51-D51)/D51)</f>
        <v/>
      </c>
      <c r="F51" s="20" t="n">
        <v>2945000000</v>
      </c>
      <c r="G51" s="20">
        <f>IF(OR(ISBLANK(F51),F51=""),"",IF($L51="متغیر","",F51/10))</f>
        <v/>
      </c>
      <c r="H51" s="22" t="inlineStr">
        <is>
          <t>✓ موجود</t>
        </is>
      </c>
      <c r="I51" s="22" t="inlineStr">
        <is>
          <t>یخچال و فریزر</t>
        </is>
      </c>
      <c r="J51" s="22" t="inlineStr">
        <is>
          <t>یخچال و فریزر کلور</t>
        </is>
      </c>
      <c r="K51" s="22" t="inlineStr">
        <is>
          <t>کلور</t>
        </is>
      </c>
      <c r="L51" s="22" t="inlineStr">
        <is>
          <t>تنوع</t>
        </is>
      </c>
      <c r="M51" s="22" t="inlineStr">
        <is>
          <t>رنگ: سفید</t>
        </is>
      </c>
      <c r="N51" s="22" t="inlineStr">
        <is>
          <t>2457</t>
        </is>
      </c>
      <c r="O51" s="22" t="n">
        <v>2461</v>
      </c>
      <c r="P51" s="32" t="inlineStr">
        <is>
          <t>https://hosseinykala.ir/?p=2457</t>
        </is>
      </c>
      <c r="Q51" s="22" t="n"/>
      <c r="R51" s="22" t="inlineStr">
        <is>
          <t>ثبت‌شده در سایت</t>
        </is>
      </c>
    </row>
    <row r="52" ht="21" customHeight="1" s="38">
      <c r="A52" s="15" t="inlineStr">
        <is>
          <t>یخچال 10 فوت کلور مدل Mini Refrigerator</t>
        </is>
      </c>
      <c r="B52" s="16" t="n"/>
      <c r="C52" s="16">
        <f>IF(OR(B52="",B52=0),"",B52/10)</f>
        <v/>
      </c>
      <c r="D52" s="16" t="n"/>
      <c r="E52" s="42">
        <f>IF(ISNUMBER(D52),(B52-D52)/D52,"")</f>
        <v/>
      </c>
      <c r="F52" s="16" t="n"/>
      <c r="G52" s="16">
        <f>IF(OR(F52="",F52=0),"",F52/10)</f>
        <v/>
      </c>
      <c r="H52" s="18" t="inlineStr">
        <is>
          <t>✓ موجود</t>
        </is>
      </c>
      <c r="I52" s="18" t="inlineStr">
        <is>
          <t>یخچال و فریزر</t>
        </is>
      </c>
      <c r="J52" s="18" t="inlineStr">
        <is>
          <t>یخچال و فریزر کلور</t>
        </is>
      </c>
      <c r="K52" s="18" t="inlineStr">
        <is>
          <t>کلور</t>
        </is>
      </c>
      <c r="L52" s="18" t="inlineStr">
        <is>
          <t>متغیر</t>
        </is>
      </c>
      <c r="M52" s="18" t="inlineStr">
        <is>
          <t>شامل 6 تنوع</t>
        </is>
      </c>
      <c r="N52" s="18" t="inlineStr">
        <is>
          <t>2431</t>
        </is>
      </c>
      <c r="O52" s="18" t="n"/>
      <c r="P52" s="31" t="inlineStr">
        <is>
          <t>https://hosseinykala.ir/?p=2431</t>
        </is>
      </c>
      <c r="Q52" s="18" t="n"/>
      <c r="R52" s="18" t="inlineStr">
        <is>
          <t>ثبت‌شده در سایت</t>
        </is>
      </c>
    </row>
    <row r="53" ht="18.95" customHeight="1" s="38">
      <c r="A53" s="19" t="inlineStr">
        <is>
          <t>↳ رنگ: مشکی</t>
        </is>
      </c>
      <c r="B53" s="20" t="n">
        <v>760000000</v>
      </c>
      <c r="C53" s="20">
        <f>IF(OR(ISBLANK(B53),B53=""),"",IF($L53="متغیر","⚠️ والد متغیر نباید قیمت داشته باشد",B53/10))</f>
        <v/>
      </c>
      <c r="D53" s="20" t="n">
        <v>760000000</v>
      </c>
      <c r="E53" s="43">
        <f>IF(OR(ISBLANK(B53),B53="",ISBLANK(D53),D53="",D53&lt;=0,$L53="متغیر"),"",(B53-D53)/D53)</f>
        <v/>
      </c>
      <c r="F53" s="20" t="n">
        <v>722000000</v>
      </c>
      <c r="G53" s="20">
        <f>IF(OR(ISBLANK(F53),F53=""),"",IF($L53="متغیر","",F53/10))</f>
        <v/>
      </c>
      <c r="H53" s="22" t="inlineStr">
        <is>
          <t>✓ موجود</t>
        </is>
      </c>
      <c r="I53" s="22" t="inlineStr">
        <is>
          <t>یخچال و فریزر</t>
        </is>
      </c>
      <c r="J53" s="22" t="inlineStr">
        <is>
          <t>یخچال و فریزر کلور</t>
        </is>
      </c>
      <c r="K53" s="22" t="inlineStr">
        <is>
          <t>کلور</t>
        </is>
      </c>
      <c r="L53" s="22" t="inlineStr">
        <is>
          <t>تنوع</t>
        </is>
      </c>
      <c r="M53" s="22" t="inlineStr">
        <is>
          <t>رنگ: مشکی</t>
        </is>
      </c>
      <c r="N53" s="22" t="inlineStr">
        <is>
          <t>2431</t>
        </is>
      </c>
      <c r="O53" s="22" t="n">
        <v>2444</v>
      </c>
      <c r="P53" s="32" t="inlineStr">
        <is>
          <t>https://hosseinykala.ir/?p=2431</t>
        </is>
      </c>
      <c r="Q53" s="22" t="n"/>
      <c r="R53" s="22" t="inlineStr">
        <is>
          <t>ثبت‌شده در سایت</t>
        </is>
      </c>
    </row>
    <row r="54" ht="18.95" customHeight="1" s="38">
      <c r="A54" s="19" t="inlineStr">
        <is>
          <t>↳ رنگ: سبز پاستیلی</t>
        </is>
      </c>
      <c r="B54" s="20" t="n">
        <v>760000000</v>
      </c>
      <c r="C54" s="20">
        <f>IF(OR(ISBLANK(B54),B54=""),"",IF($L54="متغیر","⚠️ والد متغیر نباید قیمت داشته باشد",B54/10))</f>
        <v/>
      </c>
      <c r="D54" s="20" t="n">
        <v>760000000</v>
      </c>
      <c r="E54" s="43">
        <f>IF(OR(ISBLANK(B54),B54="",ISBLANK(D54),D54="",D54&lt;=0,$L54="متغیر"),"",(B54-D54)/D54)</f>
        <v/>
      </c>
      <c r="F54" s="20" t="n">
        <v>722000000</v>
      </c>
      <c r="G54" s="20">
        <f>IF(OR(ISBLANK(F54),F54=""),"",IF($L54="متغیر","",F54/10))</f>
        <v/>
      </c>
      <c r="H54" s="22" t="inlineStr">
        <is>
          <t>✓ موجود</t>
        </is>
      </c>
      <c r="I54" s="22" t="inlineStr">
        <is>
          <t>یخچال و فریزر</t>
        </is>
      </c>
      <c r="J54" s="22" t="inlineStr">
        <is>
          <t>یخچال و فریزر کلور</t>
        </is>
      </c>
      <c r="K54" s="22" t="inlineStr">
        <is>
          <t>کلور</t>
        </is>
      </c>
      <c r="L54" s="22" t="inlineStr">
        <is>
          <t>تنوع</t>
        </is>
      </c>
      <c r="M54" s="22" t="inlineStr">
        <is>
          <t>رنگ: سبز پاستیلی</t>
        </is>
      </c>
      <c r="N54" s="22" t="inlineStr">
        <is>
          <t>2431</t>
        </is>
      </c>
      <c r="O54" s="22" t="n">
        <v>2443</v>
      </c>
      <c r="P54" s="32" t="inlineStr">
        <is>
          <t>https://hosseinykala.ir/?p=2431</t>
        </is>
      </c>
      <c r="Q54" s="22" t="n"/>
      <c r="R54" s="22" t="inlineStr">
        <is>
          <t>ثبت‌شده در سایت</t>
        </is>
      </c>
    </row>
    <row r="55" ht="18.95" customHeight="1" s="38">
      <c r="A55" s="19" t="inlineStr">
        <is>
          <t>↳ رنگ: سفید</t>
        </is>
      </c>
      <c r="B55" s="20" t="n">
        <v>760000000</v>
      </c>
      <c r="C55" s="20">
        <f>IF(OR(ISBLANK(B55),B55=""),"",IF($L55="متغیر","⚠️ والد متغیر نباید قیمت داشته باشد",B55/10))</f>
        <v/>
      </c>
      <c r="D55" s="20" t="n">
        <v>760000000</v>
      </c>
      <c r="E55" s="43">
        <f>IF(OR(ISBLANK(B55),B55="",ISBLANK(D55),D55="",D55&lt;=0,$L55="متغیر"),"",(B55-D55)/D55)</f>
        <v/>
      </c>
      <c r="F55" s="20" t="n">
        <v>722000000</v>
      </c>
      <c r="G55" s="20">
        <f>IF(OR(ISBLANK(F55),F55=""),"",IF($L55="متغیر","",F55/10))</f>
        <v/>
      </c>
      <c r="H55" s="22" t="inlineStr">
        <is>
          <t>✓ موجود</t>
        </is>
      </c>
      <c r="I55" s="22" t="inlineStr">
        <is>
          <t>یخچال و فریزر</t>
        </is>
      </c>
      <c r="J55" s="22" t="inlineStr">
        <is>
          <t>یخچال و فریزر کلور</t>
        </is>
      </c>
      <c r="K55" s="22" t="inlineStr">
        <is>
          <t>کلور</t>
        </is>
      </c>
      <c r="L55" s="22" t="inlineStr">
        <is>
          <t>تنوع</t>
        </is>
      </c>
      <c r="M55" s="22" t="inlineStr">
        <is>
          <t>رنگ: سفید</t>
        </is>
      </c>
      <c r="N55" s="22" t="inlineStr">
        <is>
          <t>2431</t>
        </is>
      </c>
      <c r="O55" s="22" t="n">
        <v>2442</v>
      </c>
      <c r="P55" s="32" t="inlineStr">
        <is>
          <t>https://hosseinykala.ir/?p=2431</t>
        </is>
      </c>
      <c r="Q55" s="22" t="n"/>
      <c r="R55" s="22" t="inlineStr">
        <is>
          <t>ثبت‌شده در سایت</t>
        </is>
      </c>
    </row>
    <row r="56" ht="18.95" customHeight="1" s="38">
      <c r="A56" s="19" t="inlineStr">
        <is>
          <t>↳ رنگ: آبی پاستیلی</t>
        </is>
      </c>
      <c r="B56" s="20" t="n">
        <v>760000000</v>
      </c>
      <c r="C56" s="20">
        <f>IF(OR(ISBLANK(B56),B56=""),"",IF($L56="متغیر","⚠️ والد متغیر نباید قیمت داشته باشد",B56/10))</f>
        <v/>
      </c>
      <c r="D56" s="20" t="n">
        <v>760000000</v>
      </c>
      <c r="E56" s="43">
        <f>IF(OR(ISBLANK(B56),B56="",ISBLANK(D56),D56="",D56&lt;=0,$L56="متغیر"),"",(B56-D56)/D56)</f>
        <v/>
      </c>
      <c r="F56" s="20" t="n">
        <v>722000000</v>
      </c>
      <c r="G56" s="20">
        <f>IF(OR(ISBLANK(F56),F56=""),"",IF($L56="متغیر","",F56/10))</f>
        <v/>
      </c>
      <c r="H56" s="22" t="inlineStr">
        <is>
          <t>✓ موجود</t>
        </is>
      </c>
      <c r="I56" s="22" t="inlineStr">
        <is>
          <t>یخچال و فریزر</t>
        </is>
      </c>
      <c r="J56" s="22" t="inlineStr">
        <is>
          <t>یخچال و فریزر کلور</t>
        </is>
      </c>
      <c r="K56" s="22" t="inlineStr">
        <is>
          <t>کلور</t>
        </is>
      </c>
      <c r="L56" s="22" t="inlineStr">
        <is>
          <t>تنوع</t>
        </is>
      </c>
      <c r="M56" s="22" t="inlineStr">
        <is>
          <t>رنگ: آبی پاستیلی</t>
        </is>
      </c>
      <c r="N56" s="22" t="inlineStr">
        <is>
          <t>2431</t>
        </is>
      </c>
      <c r="O56" s="22" t="n">
        <v>2441</v>
      </c>
      <c r="P56" s="32" t="inlineStr">
        <is>
          <t>https://hosseinykala.ir/?p=2431</t>
        </is>
      </c>
      <c r="Q56" s="22" t="n"/>
      <c r="R56" s="22" t="inlineStr">
        <is>
          <t>ثبت‌شده در سایت</t>
        </is>
      </c>
    </row>
    <row r="57" ht="18.95" customHeight="1" s="38">
      <c r="A57" s="19" t="inlineStr">
        <is>
          <t>↳ رنگ: مشکی براق</t>
        </is>
      </c>
      <c r="B57" s="20" t="n">
        <v>760000000</v>
      </c>
      <c r="C57" s="20">
        <f>IF(OR(ISBLANK(B57),B57=""),"",IF($L57="متغیر","⚠️ والد متغیر نباید قیمت داشته باشد",B57/10))</f>
        <v/>
      </c>
      <c r="D57" s="20" t="n">
        <v>760000000</v>
      </c>
      <c r="E57" s="43">
        <f>IF(OR(ISBLANK(B57),B57="",ISBLANK(D57),D57="",D57&lt;=0,$L57="متغیر"),"",(B57-D57)/D57)</f>
        <v/>
      </c>
      <c r="F57" s="20" t="n">
        <v>722000000</v>
      </c>
      <c r="G57" s="20">
        <f>IF(OR(ISBLANK(F57),F57=""),"",IF($L57="متغیر","",F57/10))</f>
        <v/>
      </c>
      <c r="H57" s="22" t="inlineStr">
        <is>
          <t>✓ موجود</t>
        </is>
      </c>
      <c r="I57" s="22" t="inlineStr">
        <is>
          <t>یخچال و فریزر</t>
        </is>
      </c>
      <c r="J57" s="22" t="inlineStr">
        <is>
          <t>یخچال و فریزر کلور</t>
        </is>
      </c>
      <c r="K57" s="22" t="inlineStr">
        <is>
          <t>کلور</t>
        </is>
      </c>
      <c r="L57" s="22" t="inlineStr">
        <is>
          <t>تنوع</t>
        </is>
      </c>
      <c r="M57" s="22" t="inlineStr">
        <is>
          <t>رنگ: مشکی براق</t>
        </is>
      </c>
      <c r="N57" s="22" t="inlineStr">
        <is>
          <t>2431</t>
        </is>
      </c>
      <c r="O57" s="22" t="n">
        <v>2444</v>
      </c>
      <c r="P57" s="32" t="inlineStr">
        <is>
          <t>https://hosseinykala.ir/?p=2431</t>
        </is>
      </c>
      <c r="Q57" s="22" t="n"/>
      <c r="R57" s="22" t="inlineStr">
        <is>
          <t>ثبت‌شده در سایت</t>
        </is>
      </c>
    </row>
    <row r="58" ht="18.95" customHeight="1" s="38">
      <c r="A58" s="19" t="inlineStr">
        <is>
          <t>↳ رنگ: قرمز</t>
        </is>
      </c>
      <c r="B58" s="20" t="n">
        <v>760000000</v>
      </c>
      <c r="C58" s="20">
        <f>IF(OR(ISBLANK(B58),B58=""),"",IF($L58="متغیر","⚠️ والد متغیر نباید قیمت داشته باشد",B58/10))</f>
        <v/>
      </c>
      <c r="D58" s="20" t="n">
        <v>760000000</v>
      </c>
      <c r="E58" s="43">
        <f>IF(OR(ISBLANK(B58),B58="",ISBLANK(D58),D58="",D58&lt;=0,$L58="متغیر"),"",(B58-D58)/D58)</f>
        <v/>
      </c>
      <c r="F58" s="20" t="n">
        <v>722000000</v>
      </c>
      <c r="G58" s="20">
        <f>IF(OR(ISBLANK(F58),F58=""),"",IF($L58="متغیر","",F58/10))</f>
        <v/>
      </c>
      <c r="H58" s="22" t="inlineStr">
        <is>
          <t>✓ موجود</t>
        </is>
      </c>
      <c r="I58" s="22" t="inlineStr">
        <is>
          <t>یخچال و فریزر</t>
        </is>
      </c>
      <c r="J58" s="22" t="inlineStr">
        <is>
          <t>یخچال و فریزر کلور</t>
        </is>
      </c>
      <c r="K58" s="22" t="inlineStr">
        <is>
          <t>کلور</t>
        </is>
      </c>
      <c r="L58" s="22" t="inlineStr">
        <is>
          <t>تنوع</t>
        </is>
      </c>
      <c r="M58" s="22" t="inlineStr">
        <is>
          <t>رنگ: قرمز</t>
        </is>
      </c>
      <c r="N58" s="22" t="inlineStr">
        <is>
          <t>2431</t>
        </is>
      </c>
      <c r="O58" s="22" t="n">
        <v>2439</v>
      </c>
      <c r="P58" s="32" t="inlineStr">
        <is>
          <t>https://hosseinykala.ir/?p=2431</t>
        </is>
      </c>
      <c r="Q58" s="22" t="n"/>
      <c r="R58" s="22" t="inlineStr">
        <is>
          <t>ثبت‌شده در سایت</t>
        </is>
      </c>
    </row>
    <row r="59" ht="21" customHeight="1" s="38">
      <c r="A59" s="15" t="inlineStr">
        <is>
          <t>یخچال و فریزر دوقلو 27 فوت کلور مدل اکونومی</t>
        </is>
      </c>
      <c r="B59" s="16" t="n"/>
      <c r="C59" s="16">
        <f>IF(OR(B59="",B59=0),"",B59/10)</f>
        <v/>
      </c>
      <c r="D59" s="16" t="n"/>
      <c r="E59" s="42">
        <f>IF(ISNUMBER(D59),(B59-D59)/D59,"")</f>
        <v/>
      </c>
      <c r="F59" s="16" t="n"/>
      <c r="G59" s="16">
        <f>IF(OR(F59="",F59=0),"",F59/10)</f>
        <v/>
      </c>
      <c r="H59" s="18" t="inlineStr">
        <is>
          <t>✓ موجود</t>
        </is>
      </c>
      <c r="I59" s="18" t="inlineStr">
        <is>
          <t>یخچال و فریزر</t>
        </is>
      </c>
      <c r="J59" s="18" t="inlineStr">
        <is>
          <t>یخچال و فریزر کلور</t>
        </is>
      </c>
      <c r="K59" s="18" t="inlineStr">
        <is>
          <t>کلور</t>
        </is>
      </c>
      <c r="L59" s="18" t="inlineStr">
        <is>
          <t>متغیر</t>
        </is>
      </c>
      <c r="M59" s="18" t="inlineStr">
        <is>
          <t>شامل 2 تنوع</t>
        </is>
      </c>
      <c r="N59" s="18" t="inlineStr">
        <is>
          <t>3999</t>
        </is>
      </c>
      <c r="O59" s="18" t="n"/>
      <c r="P59" s="31" t="inlineStr">
        <is>
          <t>https://hosseinykala.ir/product/clover-economy-27ft-twin-refrigerator/</t>
        </is>
      </c>
      <c r="Q59" s="18" t="n"/>
      <c r="R59" s="18" t="inlineStr">
        <is>
          <t>ثبت‌شده در سایت</t>
        </is>
      </c>
    </row>
    <row r="60" ht="18.95" customHeight="1" s="38">
      <c r="A60" s="19" t="inlineStr">
        <is>
          <t>↳ رنگ: استیل</t>
        </is>
      </c>
      <c r="B60" s="20" t="n">
        <v>2750000000</v>
      </c>
      <c r="C60" s="20">
        <f>IF(OR(ISBLANK(B60),B60=""),"",IF($L60="متغیر","⚠️ والد متغیر نباید قیمت داشته باشد",B60/10))</f>
        <v/>
      </c>
      <c r="D60" s="20" t="n">
        <v>2750000000</v>
      </c>
      <c r="E60" s="43">
        <f>IF(OR(ISBLANK(B60),B60="",ISBLANK(D60),D60="",D60&lt;=0,$L60="متغیر"),"",(B60-D60)/D60)</f>
        <v/>
      </c>
      <c r="F60" s="20" t="n">
        <v>2612500000</v>
      </c>
      <c r="G60" s="20">
        <f>IF(OR(ISBLANK(F60),F60=""),"",IF($L60="متغیر","",F60/10))</f>
        <v/>
      </c>
      <c r="H60" s="22" t="inlineStr">
        <is>
          <t>✓ موجود</t>
        </is>
      </c>
      <c r="I60" s="22" t="inlineStr">
        <is>
          <t>یخچال و فریزر</t>
        </is>
      </c>
      <c r="J60" s="22" t="inlineStr">
        <is>
          <t>یخچال و فریزر کلور</t>
        </is>
      </c>
      <c r="K60" s="22" t="inlineStr">
        <is>
          <t>کلور</t>
        </is>
      </c>
      <c r="L60" s="22" t="inlineStr">
        <is>
          <t>تنوع</t>
        </is>
      </c>
      <c r="M60" s="22" t="inlineStr">
        <is>
          <t>رنگ: استیل</t>
        </is>
      </c>
      <c r="N60" s="22" t="inlineStr">
        <is>
          <t>3999</t>
        </is>
      </c>
      <c r="O60" s="22" t="n">
        <v>4000</v>
      </c>
      <c r="P60" s="32" t="inlineStr">
        <is>
          <t>https://hosseinykala.ir/product/clover-economy-27ft-twin-refrigerator/</t>
        </is>
      </c>
      <c r="Q60" s="22" t="n"/>
      <c r="R60" s="22" t="inlineStr">
        <is>
          <t>ثبت‌شده در سایت</t>
        </is>
      </c>
    </row>
    <row r="61" ht="18.95" customHeight="1" s="38">
      <c r="A61" s="19" t="inlineStr">
        <is>
          <t>↳ رنگ: سفید</t>
        </is>
      </c>
      <c r="B61" s="20" t="n">
        <v>2700000000</v>
      </c>
      <c r="C61" s="20">
        <f>IF(OR(ISBLANK(B61),B61=""),"",IF($L61="متغیر","⚠️ والد متغیر نباید قیمت داشته باشد",B61/10))</f>
        <v/>
      </c>
      <c r="D61" s="20" t="n">
        <v>2700000000</v>
      </c>
      <c r="E61" s="43">
        <f>IF(OR(ISBLANK(B61),B61="",ISBLANK(D61),D61="",D61&lt;=0,$L61="متغیر"),"",(B61-D61)/D61)</f>
        <v/>
      </c>
      <c r="F61" s="20" t="n">
        <v>2565000000</v>
      </c>
      <c r="G61" s="20">
        <f>IF(OR(ISBLANK(F61),F61=""),"",IF($L61="متغیر","",F61/10))</f>
        <v/>
      </c>
      <c r="H61" s="22" t="inlineStr">
        <is>
          <t>✓ موجود</t>
        </is>
      </c>
      <c r="I61" s="22" t="inlineStr">
        <is>
          <t>یخچال و فریزر</t>
        </is>
      </c>
      <c r="J61" s="22" t="inlineStr">
        <is>
          <t>یخچال و فریزر کلور</t>
        </is>
      </c>
      <c r="K61" s="22" t="inlineStr">
        <is>
          <t>کلور</t>
        </is>
      </c>
      <c r="L61" s="22" t="inlineStr">
        <is>
          <t>تنوع</t>
        </is>
      </c>
      <c r="M61" s="22" t="inlineStr">
        <is>
          <t>رنگ: سفید</t>
        </is>
      </c>
      <c r="N61" s="22" t="inlineStr">
        <is>
          <t>3999</t>
        </is>
      </c>
      <c r="O61" s="22" t="n">
        <v>4001</v>
      </c>
      <c r="P61" s="32" t="inlineStr">
        <is>
          <t>https://hosseinykala.ir/product/clover-economy-27ft-twin-refrigerator/</t>
        </is>
      </c>
      <c r="Q61" s="22" t="n"/>
      <c r="R61" s="22" t="inlineStr">
        <is>
          <t>ثبت‌شده در سایت</t>
        </is>
      </c>
    </row>
    <row r="62" ht="21" customHeight="1" s="38">
      <c r="A62" s="15" t="inlineStr">
        <is>
          <t>یخچال و فریزر دوقلو کلور عرض 70 مدل روسو آبریزدار</t>
        </is>
      </c>
      <c r="B62" s="16" t="n"/>
      <c r="C62" s="16">
        <f>IF(OR(B62="",B62=0),"",B62/10)</f>
        <v/>
      </c>
      <c r="D62" s="16" t="n"/>
      <c r="E62" s="42">
        <f>IF(ISNUMBER(D62),(B62-D62)/D62,"")</f>
        <v/>
      </c>
      <c r="F62" s="16" t="n"/>
      <c r="G62" s="16">
        <f>IF(OR(F62="",F62=0),"",F62/10)</f>
        <v/>
      </c>
      <c r="H62" s="18" t="inlineStr">
        <is>
          <t>✓ موجود</t>
        </is>
      </c>
      <c r="I62" s="18" t="inlineStr">
        <is>
          <t>یخچال و فریزر</t>
        </is>
      </c>
      <c r="J62" s="18" t="inlineStr">
        <is>
          <t>یخچال و فریزر کلور</t>
        </is>
      </c>
      <c r="K62" s="18" t="inlineStr">
        <is>
          <t>کلور</t>
        </is>
      </c>
      <c r="L62" s="18" t="inlineStr">
        <is>
          <t>متغیر</t>
        </is>
      </c>
      <c r="M62" s="18" t="inlineStr">
        <is>
          <t>شامل 2 تنوع</t>
        </is>
      </c>
      <c r="N62" s="18" t="inlineStr">
        <is>
          <t>4163</t>
        </is>
      </c>
      <c r="O62" s="18" t="n"/>
      <c r="P62" s="31" t="inlineStr">
        <is>
          <t>https://hosseinykala.ir/product/clover-rosso-dispenser-70cm-twin-refrigerator/</t>
        </is>
      </c>
      <c r="Q62" s="18" t="n"/>
      <c r="R62" s="18" t="inlineStr">
        <is>
          <t>ثبت‌شده در سایت</t>
        </is>
      </c>
    </row>
    <row r="63" ht="18.95" customHeight="1" s="38">
      <c r="A63" s="19" t="inlineStr">
        <is>
          <t>↳ رنگ: استیل</t>
        </is>
      </c>
      <c r="B63" s="20" t="n">
        <v>3450000000</v>
      </c>
      <c r="C63" s="20">
        <f>IF(OR(ISBLANK(B63),B63=""),"",IF($L63="متغیر","⚠️ والد متغیر نباید قیمت داشته باشد",B63/10))</f>
        <v/>
      </c>
      <c r="D63" s="20" t="n">
        <v>3450000000</v>
      </c>
      <c r="E63" s="43">
        <f>IF(OR(ISBLANK(B63),B63="",ISBLANK(D63),D63="",D63&lt;=0,$L63="متغیر"),"",(B63-D63)/D63)</f>
        <v/>
      </c>
      <c r="F63" s="20" t="n">
        <v>3277500000</v>
      </c>
      <c r="G63" s="20">
        <f>IF(OR(ISBLANK(F63),F63=""),"",IF($L63="متغیر","",F63/10))</f>
        <v/>
      </c>
      <c r="H63" s="22" t="inlineStr">
        <is>
          <t>✓ موجود</t>
        </is>
      </c>
      <c r="I63" s="22" t="inlineStr">
        <is>
          <t>یخچال و فریزر</t>
        </is>
      </c>
      <c r="J63" s="22" t="inlineStr">
        <is>
          <t>یخچال و فریزر کلور</t>
        </is>
      </c>
      <c r="K63" s="22" t="inlineStr">
        <is>
          <t>کلور</t>
        </is>
      </c>
      <c r="L63" s="22" t="inlineStr">
        <is>
          <t>تنوع</t>
        </is>
      </c>
      <c r="M63" s="22" t="inlineStr">
        <is>
          <t>رنگ: استیل</t>
        </is>
      </c>
      <c r="N63" s="22" t="inlineStr">
        <is>
          <t>4163</t>
        </is>
      </c>
      <c r="O63" s="22" t="n">
        <v>4164</v>
      </c>
      <c r="P63" s="32" t="inlineStr">
        <is>
          <t>https://hosseinykala.ir/product/clover-rosso-dispenser-70cm-twin-refrigerator/</t>
        </is>
      </c>
      <c r="Q63" s="22" t="n"/>
      <c r="R63" s="22" t="inlineStr">
        <is>
          <t>ثبت‌شده در سایت</t>
        </is>
      </c>
    </row>
    <row r="64" ht="18.95" customHeight="1" s="38">
      <c r="A64" s="19" t="inlineStr">
        <is>
          <t>↳ رنگ: سفید</t>
        </is>
      </c>
      <c r="B64" s="20" t="n">
        <v>3400000000</v>
      </c>
      <c r="C64" s="20">
        <f>IF(OR(ISBLANK(B64),B64=""),"",IF($L64="متغیر","⚠️ والد متغیر نباید قیمت داشته باشد",B64/10))</f>
        <v/>
      </c>
      <c r="D64" s="20" t="n">
        <v>3400000000</v>
      </c>
      <c r="E64" s="43">
        <f>IF(OR(ISBLANK(B64),B64="",ISBLANK(D64),D64="",D64&lt;=0,$L64="متغیر"),"",(B64-D64)/D64)</f>
        <v/>
      </c>
      <c r="F64" s="20" t="n">
        <v>3230000000</v>
      </c>
      <c r="G64" s="20">
        <f>IF(OR(ISBLANK(F64),F64=""),"",IF($L64="متغیر","",F64/10))</f>
        <v/>
      </c>
      <c r="H64" s="22" t="inlineStr">
        <is>
          <t>✓ موجود</t>
        </is>
      </c>
      <c r="I64" s="22" t="inlineStr">
        <is>
          <t>یخچال و فریزر</t>
        </is>
      </c>
      <c r="J64" s="22" t="inlineStr">
        <is>
          <t>یخچال و فریزر کلور</t>
        </is>
      </c>
      <c r="K64" s="22" t="inlineStr">
        <is>
          <t>کلور</t>
        </is>
      </c>
      <c r="L64" s="22" t="inlineStr">
        <is>
          <t>تنوع</t>
        </is>
      </c>
      <c r="M64" s="22" t="inlineStr">
        <is>
          <t>رنگ: سفید</t>
        </is>
      </c>
      <c r="N64" s="22" t="inlineStr">
        <is>
          <t>4163</t>
        </is>
      </c>
      <c r="O64" s="22" t="n">
        <v>4165</v>
      </c>
      <c r="P64" s="32" t="inlineStr">
        <is>
          <t>https://hosseinykala.ir/product/clover-rosso-dispenser-70cm-twin-refrigerator/</t>
        </is>
      </c>
      <c r="Q64" s="22" t="n"/>
      <c r="R64" s="22" t="inlineStr">
        <is>
          <t>ثبت‌شده در سایت</t>
        </is>
      </c>
    </row>
    <row r="65" ht="21" customHeight="1" s="38">
      <c r="A65" s="15" t="inlineStr">
        <is>
          <t>یخچال و فریزر دوقلو کلور عرض 70 مدل روسو هوم بار</t>
        </is>
      </c>
      <c r="B65" s="16" t="n"/>
      <c r="C65" s="16">
        <f>IF(OR(B65="",B65=0),"",B65/10)</f>
        <v/>
      </c>
      <c r="D65" s="16" t="n"/>
      <c r="E65" s="42">
        <f>IF(ISNUMBER(D65),(B65-D65)/D65,"")</f>
        <v/>
      </c>
      <c r="F65" s="16" t="n"/>
      <c r="G65" s="16">
        <f>IF(OR(F65="",F65=0),"",F65/10)</f>
        <v/>
      </c>
      <c r="H65" s="18" t="inlineStr">
        <is>
          <t>✓ موجود</t>
        </is>
      </c>
      <c r="I65" s="18" t="inlineStr">
        <is>
          <t>یخچال و فریزر</t>
        </is>
      </c>
      <c r="J65" s="18" t="inlineStr">
        <is>
          <t>یخچال و فریزر کلور</t>
        </is>
      </c>
      <c r="K65" s="18" t="inlineStr">
        <is>
          <t>کلور</t>
        </is>
      </c>
      <c r="L65" s="18" t="inlineStr">
        <is>
          <t>متغیر</t>
        </is>
      </c>
      <c r="M65" s="18" t="inlineStr">
        <is>
          <t>شامل 2 تنوع</t>
        </is>
      </c>
      <c r="N65" s="18" t="inlineStr">
        <is>
          <t>4012</t>
        </is>
      </c>
      <c r="O65" s="18" t="n"/>
      <c r="P65" s="31" t="inlineStr">
        <is>
          <t>https://hosseinykala.ir/product/clover-rosso-homebar-70cm-twin-refrigerator/</t>
        </is>
      </c>
      <c r="Q65" s="18" t="n"/>
      <c r="R65" s="18" t="inlineStr">
        <is>
          <t>ثبت‌شده در سایت</t>
        </is>
      </c>
    </row>
    <row r="66" ht="18.95" customHeight="1" s="38">
      <c r="A66" s="19" t="inlineStr">
        <is>
          <t>↳ رنگ: استیل</t>
        </is>
      </c>
      <c r="B66" s="20" t="n">
        <v>3150000000</v>
      </c>
      <c r="C66" s="20">
        <f>IF(OR(ISBLANK(B66),B66=""),"",IF($L66="متغیر","⚠️ والد متغیر نباید قیمت داشته باشد",B66/10))</f>
        <v/>
      </c>
      <c r="D66" s="20" t="n">
        <v>3150000000</v>
      </c>
      <c r="E66" s="43">
        <f>IF(OR(ISBLANK(B66),B66="",ISBLANK(D66),D66="",D66&lt;=0,$L66="متغیر"),"",(B66-D66)/D66)</f>
        <v/>
      </c>
      <c r="F66" s="20" t="n">
        <v>2992500000</v>
      </c>
      <c r="G66" s="20">
        <f>IF(OR(ISBLANK(F66),F66=""),"",IF($L66="متغیر","",F66/10))</f>
        <v/>
      </c>
      <c r="H66" s="22" t="inlineStr">
        <is>
          <t>✓ موجود</t>
        </is>
      </c>
      <c r="I66" s="22" t="inlineStr">
        <is>
          <t>یخچال و فریزر</t>
        </is>
      </c>
      <c r="J66" s="22" t="inlineStr">
        <is>
          <t>یخچال و فریزر کلور</t>
        </is>
      </c>
      <c r="K66" s="22" t="inlineStr">
        <is>
          <t>کلور</t>
        </is>
      </c>
      <c r="L66" s="22" t="inlineStr">
        <is>
          <t>تنوع</t>
        </is>
      </c>
      <c r="M66" s="22" t="inlineStr">
        <is>
          <t>رنگ: استیل</t>
        </is>
      </c>
      <c r="N66" s="22" t="inlineStr">
        <is>
          <t>4012</t>
        </is>
      </c>
      <c r="O66" s="22" t="n">
        <v>4013</v>
      </c>
      <c r="P66" s="32" t="inlineStr">
        <is>
          <t>https://hosseinykala.ir/product/clover-rosso-homebar-70cm-twin-refrigerator/</t>
        </is>
      </c>
      <c r="Q66" s="22" t="n"/>
      <c r="R66" s="22" t="inlineStr">
        <is>
          <t>ثبت‌شده در سایت</t>
        </is>
      </c>
    </row>
    <row r="67" ht="18.95" customHeight="1" s="38">
      <c r="A67" s="19" t="inlineStr">
        <is>
          <t>↳ رنگ: سفید</t>
        </is>
      </c>
      <c r="B67" s="20" t="n">
        <v>3100000000</v>
      </c>
      <c r="C67" s="20">
        <f>IF(OR(ISBLANK(B67),B67=""),"",IF($L67="متغیر","⚠️ والد متغیر نباید قیمت داشته باشد",B67/10))</f>
        <v/>
      </c>
      <c r="D67" s="20" t="n">
        <v>3100000000</v>
      </c>
      <c r="E67" s="43">
        <f>IF(OR(ISBLANK(B67),B67="",ISBLANK(D67),D67="",D67&lt;=0,$L67="متغیر"),"",(B67-D67)/D67)</f>
        <v/>
      </c>
      <c r="F67" s="20" t="n">
        <v>2945000000</v>
      </c>
      <c r="G67" s="20">
        <f>IF(OR(ISBLANK(F67),F67=""),"",IF($L67="متغیر","",F67/10))</f>
        <v/>
      </c>
      <c r="H67" s="22" t="inlineStr">
        <is>
          <t>✓ موجود</t>
        </is>
      </c>
      <c r="I67" s="22" t="inlineStr">
        <is>
          <t>یخچال و فریزر</t>
        </is>
      </c>
      <c r="J67" s="22" t="inlineStr">
        <is>
          <t>یخچال و فریزر کلور</t>
        </is>
      </c>
      <c r="K67" s="22" t="inlineStr">
        <is>
          <t>کلور</t>
        </is>
      </c>
      <c r="L67" s="22" t="inlineStr">
        <is>
          <t>تنوع</t>
        </is>
      </c>
      <c r="M67" s="22" t="inlineStr">
        <is>
          <t>رنگ: سفید</t>
        </is>
      </c>
      <c r="N67" s="22" t="inlineStr">
        <is>
          <t>4012</t>
        </is>
      </c>
      <c r="O67" s="22" t="n">
        <v>4014</v>
      </c>
      <c r="P67" s="32" t="inlineStr">
        <is>
          <t>https://hosseinykala.ir/product/clover-rosso-homebar-70cm-twin-refrigerator/</t>
        </is>
      </c>
      <c r="Q67" s="22" t="n"/>
      <c r="R67" s="22" t="inlineStr">
        <is>
          <t>ثبت‌شده در سایت</t>
        </is>
      </c>
    </row>
    <row r="68" ht="21" customHeight="1" s="38">
      <c r="A68" s="15" t="inlineStr">
        <is>
          <t>مینی یخچال 10 فوت کلور مدل طرح دار فانتزی</t>
        </is>
      </c>
      <c r="B68" s="16" t="n"/>
      <c r="C68" s="16">
        <f>IF(OR(B68="",B68=0),"",B68/10)</f>
        <v/>
      </c>
      <c r="D68" s="16" t="n"/>
      <c r="E68" s="42">
        <f>IF(ISNUMBER(D68),(B68-D68)/D68,"")</f>
        <v/>
      </c>
      <c r="F68" s="16" t="n"/>
      <c r="G68" s="16">
        <f>IF(OR(F68="",F68=0),"",F68/10)</f>
        <v/>
      </c>
      <c r="H68" s="18" t="inlineStr">
        <is>
          <t>✓ موجود</t>
        </is>
      </c>
      <c r="I68" s="18" t="inlineStr">
        <is>
          <t>یخچال و فریزر</t>
        </is>
      </c>
      <c r="J68" s="18" t="inlineStr">
        <is>
          <t>یخچال و فریزر کلور</t>
        </is>
      </c>
      <c r="K68" s="18" t="inlineStr">
        <is>
          <t>کلور</t>
        </is>
      </c>
      <c r="L68" s="18" t="inlineStr">
        <is>
          <t>متغیر</t>
        </is>
      </c>
      <c r="M68" s="18" t="inlineStr">
        <is>
          <t>شامل 4 تنوع</t>
        </is>
      </c>
      <c r="N68" s="18" t="inlineStr">
        <is>
          <t>4018</t>
        </is>
      </c>
      <c r="O68" s="18" t="n"/>
      <c r="P68" s="31" t="inlineStr">
        <is>
          <t>https://hosseinykala.ir/product/clover-fantasy-patterned-10ft-mini-refrigerator/</t>
        </is>
      </c>
      <c r="Q68" s="18" t="n"/>
      <c r="R68" s="18" t="inlineStr">
        <is>
          <t>ثبت‌شده در سایت</t>
        </is>
      </c>
    </row>
    <row r="69" ht="18.95" customHeight="1" s="38">
      <c r="A69" s="19" t="inlineStr">
        <is>
          <t>↳ طرح: آبی طرح دار</t>
        </is>
      </c>
      <c r="B69" s="20" t="n">
        <v>760000000</v>
      </c>
      <c r="C69" s="20">
        <f>IF(OR(ISBLANK(B69),B69=""),"",IF($L69="متغیر","⚠️ والد متغیر نباید قیمت داشته باشد",B69/10))</f>
        <v/>
      </c>
      <c r="D69" s="20" t="n">
        <v>760000000</v>
      </c>
      <c r="E69" s="43">
        <f>IF(OR(ISBLANK(B69),B69="",ISBLANK(D69),D69="",D69&lt;=0,$L69="متغیر"),"",(B69-D69)/D69)</f>
        <v/>
      </c>
      <c r="F69" s="20" t="n">
        <v>722000000</v>
      </c>
      <c r="G69" s="20">
        <f>IF(OR(ISBLANK(F69),F69=""),"",IF($L69="متغیر","",F69/10))</f>
        <v/>
      </c>
      <c r="H69" s="22" t="inlineStr">
        <is>
          <t>✓ موجود</t>
        </is>
      </c>
      <c r="I69" s="22" t="inlineStr">
        <is>
          <t>یخچال و فریزر</t>
        </is>
      </c>
      <c r="J69" s="22" t="inlineStr">
        <is>
          <t>یخچال و فریزر کلور</t>
        </is>
      </c>
      <c r="K69" s="22" t="inlineStr">
        <is>
          <t>کلور</t>
        </is>
      </c>
      <c r="L69" s="22" t="inlineStr">
        <is>
          <t>تنوع</t>
        </is>
      </c>
      <c r="M69" s="22" t="inlineStr">
        <is>
          <t>طرح: آبی طرح دار</t>
        </is>
      </c>
      <c r="N69" s="22" t="inlineStr">
        <is>
          <t>4018</t>
        </is>
      </c>
      <c r="O69" s="22" t="n">
        <v>4019</v>
      </c>
      <c r="P69" s="32" t="inlineStr">
        <is>
          <t>https://hosseinykala.ir/product/clover-fantasy-patterned-10ft-mini-refrigerator/</t>
        </is>
      </c>
      <c r="Q69" s="22" t="n"/>
      <c r="R69" s="22" t="inlineStr">
        <is>
          <t>ثبت‌شده در سایت</t>
        </is>
      </c>
    </row>
    <row r="70" ht="18.95" customHeight="1" s="38">
      <c r="A70" s="19" t="inlineStr">
        <is>
          <t>↳ طرح: سبز طرح دار</t>
        </is>
      </c>
      <c r="B70" s="20" t="n">
        <v>760000000</v>
      </c>
      <c r="C70" s="20">
        <f>IF(OR(ISBLANK(B70),B70=""),"",IF($L70="متغیر","⚠️ والد متغیر نباید قیمت داشته باشد",B70/10))</f>
        <v/>
      </c>
      <c r="D70" s="20" t="n">
        <v>760000000</v>
      </c>
      <c r="E70" s="43">
        <f>IF(OR(ISBLANK(B70),B70="",ISBLANK(D70),D70="",D70&lt;=0,$L70="متغیر"),"",(B70-D70)/D70)</f>
        <v/>
      </c>
      <c r="F70" s="20" t="n">
        <v>722000000</v>
      </c>
      <c r="G70" s="20">
        <f>IF(OR(ISBLANK(F70),F70=""),"",IF($L70="متغیر","",F70/10))</f>
        <v/>
      </c>
      <c r="H70" s="22" t="inlineStr">
        <is>
          <t>✓ موجود</t>
        </is>
      </c>
      <c r="I70" s="22" t="inlineStr">
        <is>
          <t>یخچال و فریزر</t>
        </is>
      </c>
      <c r="J70" s="22" t="inlineStr">
        <is>
          <t>یخچال و فریزر کلور</t>
        </is>
      </c>
      <c r="K70" s="22" t="inlineStr">
        <is>
          <t>کلور</t>
        </is>
      </c>
      <c r="L70" s="22" t="inlineStr">
        <is>
          <t>تنوع</t>
        </is>
      </c>
      <c r="M70" s="22" t="inlineStr">
        <is>
          <t>طرح: سبز طرح دار</t>
        </is>
      </c>
      <c r="N70" s="22" t="inlineStr">
        <is>
          <t>4018</t>
        </is>
      </c>
      <c r="O70" s="22" t="n">
        <v>4020</v>
      </c>
      <c r="P70" s="32" t="inlineStr">
        <is>
          <t>https://hosseinykala.ir/product/clover-fantasy-patterned-10ft-mini-refrigerator/</t>
        </is>
      </c>
      <c r="Q70" s="22" t="n"/>
      <c r="R70" s="22" t="inlineStr">
        <is>
          <t>ثبت‌شده در سایت</t>
        </is>
      </c>
    </row>
    <row r="71" ht="18.95" customHeight="1" s="38">
      <c r="A71" s="19" t="inlineStr">
        <is>
          <t>↳ طرح: سفید طرح دار</t>
        </is>
      </c>
      <c r="B71" s="20" t="n">
        <v>760000000</v>
      </c>
      <c r="C71" s="20">
        <f>IF(OR(ISBLANK(B71),B71=""),"",IF($L71="متغیر","⚠️ والد متغیر نباید قیمت داشته باشد",B71/10))</f>
        <v/>
      </c>
      <c r="D71" s="20" t="n">
        <v>760000000</v>
      </c>
      <c r="E71" s="43">
        <f>IF(OR(ISBLANK(B71),B71="",ISBLANK(D71),D71="",D71&lt;=0,$L71="متغیر"),"",(B71-D71)/D71)</f>
        <v/>
      </c>
      <c r="F71" s="20" t="n">
        <v>722000000</v>
      </c>
      <c r="G71" s="20">
        <f>IF(OR(ISBLANK(F71),F71=""),"",IF($L71="متغیر","",F71/10))</f>
        <v/>
      </c>
      <c r="H71" s="22" t="inlineStr">
        <is>
          <t>✓ موجود</t>
        </is>
      </c>
      <c r="I71" s="22" t="inlineStr">
        <is>
          <t>یخچال و فریزر</t>
        </is>
      </c>
      <c r="J71" s="22" t="inlineStr">
        <is>
          <t>یخچال و فریزر کلور</t>
        </is>
      </c>
      <c r="K71" s="22" t="inlineStr">
        <is>
          <t>کلور</t>
        </is>
      </c>
      <c r="L71" s="22" t="inlineStr">
        <is>
          <t>تنوع</t>
        </is>
      </c>
      <c r="M71" s="22" t="inlineStr">
        <is>
          <t>طرح: سفید طرح دار</t>
        </is>
      </c>
      <c r="N71" s="22" t="inlineStr">
        <is>
          <t>4018</t>
        </is>
      </c>
      <c r="O71" s="22" t="n">
        <v>4021</v>
      </c>
      <c r="P71" s="32" t="inlineStr">
        <is>
          <t>https://hosseinykala.ir/product/clover-fantasy-patterned-10ft-mini-refrigerator/</t>
        </is>
      </c>
      <c r="Q71" s="22" t="n"/>
      <c r="R71" s="22" t="inlineStr">
        <is>
          <t>ثبت‌شده در سایت</t>
        </is>
      </c>
    </row>
    <row r="72" ht="18.95" customHeight="1" s="38">
      <c r="A72" s="19" t="inlineStr">
        <is>
          <t>↳ طرح: مشکی طرح دار</t>
        </is>
      </c>
      <c r="B72" s="20" t="n">
        <v>760000000</v>
      </c>
      <c r="C72" s="20">
        <f>IF(OR(ISBLANK(B72),B72=""),"",IF($L72="متغیر","⚠️ والد متغیر نباید قیمت داشته باشد",B72/10))</f>
        <v/>
      </c>
      <c r="D72" s="20" t="n">
        <v>760000000</v>
      </c>
      <c r="E72" s="43">
        <f>IF(OR(ISBLANK(B72),B72="",ISBLANK(D72),D72="",D72&lt;=0,$L72="متغیر"),"",(B72-D72)/D72)</f>
        <v/>
      </c>
      <c r="F72" s="20" t="n">
        <v>722000000</v>
      </c>
      <c r="G72" s="20">
        <f>IF(OR(ISBLANK(F72),F72=""),"",IF($L72="متغیر","",F72/10))</f>
        <v/>
      </c>
      <c r="H72" s="22" t="inlineStr">
        <is>
          <t>✓ موجود</t>
        </is>
      </c>
      <c r="I72" s="22" t="inlineStr">
        <is>
          <t>یخچال و فریزر</t>
        </is>
      </c>
      <c r="J72" s="22" t="inlineStr">
        <is>
          <t>یخچال و فریزر کلور</t>
        </is>
      </c>
      <c r="K72" s="22" t="inlineStr">
        <is>
          <t>کلور</t>
        </is>
      </c>
      <c r="L72" s="22" t="inlineStr">
        <is>
          <t>تنوع</t>
        </is>
      </c>
      <c r="M72" s="22" t="inlineStr">
        <is>
          <t>طرح: مشکی طرح دار</t>
        </is>
      </c>
      <c r="N72" s="22" t="inlineStr">
        <is>
          <t>4018</t>
        </is>
      </c>
      <c r="O72" s="22" t="n">
        <v>4022</v>
      </c>
      <c r="P72" s="32" t="inlineStr">
        <is>
          <t>https://hosseinykala.ir/product/clover-fantasy-patterned-10ft-mini-refrigerator/</t>
        </is>
      </c>
      <c r="Q72" s="22" t="n"/>
      <c r="R72" s="22" t="inlineStr">
        <is>
          <t>ثبت‌شده در سایت</t>
        </is>
      </c>
    </row>
    <row r="73" ht="21" customHeight="1" s="38">
      <c r="A73" s="15" t="inlineStr">
        <is>
          <t>یخچال و فریزر دوقلو 36 فوت کلور مدل RNT101-FNT101</t>
        </is>
      </c>
      <c r="B73" s="16" t="n"/>
      <c r="C73" s="16">
        <f>IF(OR(B73="",B73=0),"",B73/10)</f>
        <v/>
      </c>
      <c r="D73" s="16" t="n"/>
      <c r="E73" s="42">
        <f>IF(ISNUMBER(D73),(B73-D73)/D73,"")</f>
        <v/>
      </c>
      <c r="F73" s="16" t="n"/>
      <c r="G73" s="16">
        <f>IF(OR(F73="",F73=0),"",F73/10)</f>
        <v/>
      </c>
      <c r="H73" s="18" t="inlineStr">
        <is>
          <t>✓ موجود</t>
        </is>
      </c>
      <c r="I73" s="18" t="inlineStr">
        <is>
          <t>یخچال و فریزر</t>
        </is>
      </c>
      <c r="J73" s="18" t="inlineStr">
        <is>
          <t>یخچال و فریزر کلور</t>
        </is>
      </c>
      <c r="K73" s="18" t="inlineStr">
        <is>
          <t>کلور</t>
        </is>
      </c>
      <c r="L73" s="18" t="inlineStr">
        <is>
          <t>متغیر</t>
        </is>
      </c>
      <c r="M73" s="18" t="inlineStr">
        <is>
          <t>شامل 2 تنوع</t>
        </is>
      </c>
      <c r="N73" s="18" t="n"/>
      <c r="O73" s="18" t="n"/>
      <c r="P73" s="31" t="n"/>
      <c r="Q73" s="18" t="n"/>
      <c r="R73" s="18" t="inlineStr">
        <is>
          <t>ثبت‌شده در سایت</t>
        </is>
      </c>
    </row>
    <row r="74" ht="18.95" customHeight="1" s="38">
      <c r="A74" s="19" t="inlineStr">
        <is>
          <t>↳ رنگ: سفید</t>
        </is>
      </c>
      <c r="B74" s="20" t="n">
        <v>2590000000</v>
      </c>
      <c r="C74" s="20">
        <f>IF(OR(ISBLANK(B74),B74=""),"",IF($L74="متغیر","⚠️ والد متغیر نباید قیمت داشته باشد",B74/10))</f>
        <v/>
      </c>
      <c r="D74" s="20" t="n">
        <v>2590000000</v>
      </c>
      <c r="E74" s="43">
        <f>IF(OR(ISBLANK(B74),B74="",ISBLANK(D74),D74="",D74&lt;=0,$L74="متغیر"),"",(B74-D74)/D74)</f>
        <v/>
      </c>
      <c r="F74" s="20" t="n">
        <v>2460500000</v>
      </c>
      <c r="G74" s="20">
        <f>IF(OR(ISBLANK(F74),F74=""),"",IF($L74="متغیر","",F74/10))</f>
        <v/>
      </c>
      <c r="H74" s="22" t="inlineStr">
        <is>
          <t>✓ موجود</t>
        </is>
      </c>
      <c r="I74" s="22" t="inlineStr">
        <is>
          <t>یخچال و فریزر</t>
        </is>
      </c>
      <c r="J74" s="22" t="inlineStr">
        <is>
          <t>یخچال و فریزر کلور</t>
        </is>
      </c>
      <c r="K74" s="22" t="inlineStr">
        <is>
          <t>کلور</t>
        </is>
      </c>
      <c r="L74" s="22" t="inlineStr">
        <is>
          <t>تنوع</t>
        </is>
      </c>
      <c r="M74" s="22" t="inlineStr">
        <is>
          <t>رنگ: سفید</t>
        </is>
      </c>
      <c r="N74" s="22" t="n"/>
      <c r="O74" s="22" t="n"/>
      <c r="P74" s="32" t="n"/>
      <c r="Q74" s="22" t="n"/>
      <c r="R74" s="22" t="inlineStr">
        <is>
          <t>ثبت‌شده در سایت</t>
        </is>
      </c>
    </row>
    <row r="75" ht="18.95" customHeight="1" s="38">
      <c r="A75" s="19" t="inlineStr">
        <is>
          <t>↳ رنگ: استیل</t>
        </is>
      </c>
      <c r="B75" s="20" t="n">
        <v>2640000000</v>
      </c>
      <c r="C75" s="20">
        <f>IF(OR(ISBLANK(B75),B75=""),"",IF($L75="متغیر","⚠️ والد متغیر نباید قیمت داشته باشد",B75/10))</f>
        <v/>
      </c>
      <c r="D75" s="20" t="n">
        <v>2640000000</v>
      </c>
      <c r="E75" s="43">
        <f>IF(OR(ISBLANK(B75),B75="",ISBLANK(D75),D75="",D75&lt;=0,$L75="متغیر"),"",(B75-D75)/D75)</f>
        <v/>
      </c>
      <c r="F75" s="20" t="n">
        <v>2508000000</v>
      </c>
      <c r="G75" s="20">
        <f>IF(OR(ISBLANK(F75),F75=""),"",IF($L75="متغیر","",F75/10))</f>
        <v/>
      </c>
      <c r="H75" s="22" t="inlineStr">
        <is>
          <t>✓ موجود</t>
        </is>
      </c>
      <c r="I75" s="22" t="inlineStr">
        <is>
          <t>یخچال و فریزر</t>
        </is>
      </c>
      <c r="J75" s="22" t="inlineStr">
        <is>
          <t>یخچال و فریزر کلور</t>
        </is>
      </c>
      <c r="K75" s="22" t="inlineStr">
        <is>
          <t>کلور</t>
        </is>
      </c>
      <c r="L75" s="22" t="inlineStr">
        <is>
          <t>تنوع</t>
        </is>
      </c>
      <c r="M75" s="22" t="inlineStr">
        <is>
          <t>رنگ: استیل</t>
        </is>
      </c>
      <c r="N75" s="22" t="n"/>
      <c r="O75" s="22" t="n"/>
      <c r="P75" s="32" t="n"/>
      <c r="Q75" s="22" t="n"/>
      <c r="R75" s="22" t="inlineStr">
        <is>
          <t>ثبت‌شده در سایت</t>
        </is>
      </c>
    </row>
    <row r="76" ht="21" customHeight="1" s="38">
      <c r="A76" s="15" t="inlineStr">
        <is>
          <t>یخچال و فریزر 27 فوت کلور مدل FRNT101</t>
        </is>
      </c>
      <c r="B76" s="16" t="n"/>
      <c r="C76" s="16">
        <f>IF(OR(B76="",B76=0),"",B76/10)</f>
        <v/>
      </c>
      <c r="D76" s="16" t="n"/>
      <c r="E76" s="42">
        <f>IF(ISNUMBER(D76),(B76-D76)/D76,"")</f>
        <v/>
      </c>
      <c r="F76" s="16" t="n"/>
      <c r="G76" s="16">
        <f>IF(OR(F76="",F76=0),"",F76/10)</f>
        <v/>
      </c>
      <c r="H76" s="18" t="inlineStr">
        <is>
          <t>✓ موجود</t>
        </is>
      </c>
      <c r="I76" s="18" t="inlineStr">
        <is>
          <t>یخچال و فریزر</t>
        </is>
      </c>
      <c r="J76" s="18" t="inlineStr">
        <is>
          <t>یخچال و فریزر کلور</t>
        </is>
      </c>
      <c r="K76" s="18" t="inlineStr">
        <is>
          <t>کلور</t>
        </is>
      </c>
      <c r="L76" s="18" t="inlineStr">
        <is>
          <t>متغیر</t>
        </is>
      </c>
      <c r="M76" s="18" t="inlineStr">
        <is>
          <t>شامل 2 تنوع</t>
        </is>
      </c>
      <c r="N76" s="18" t="n"/>
      <c r="O76" s="18" t="n"/>
      <c r="P76" s="31" t="n"/>
      <c r="Q76" s="18" t="n"/>
      <c r="R76" s="18" t="inlineStr">
        <is>
          <t>ثبت‌شده در سایت</t>
        </is>
      </c>
    </row>
    <row r="77" ht="18.95" customHeight="1" s="38">
      <c r="A77" s="19" t="inlineStr">
        <is>
          <t>↳ رنگ: استیل</t>
        </is>
      </c>
      <c r="B77" s="20" t="n">
        <v>1327300000</v>
      </c>
      <c r="C77" s="20">
        <f>IF(OR(ISBLANK(B77),B77=""),"",IF($L77="متغیر","⚠️ والد متغیر نباید قیمت داشته باشد",B77/10))</f>
        <v/>
      </c>
      <c r="D77" s="20" t="n">
        <v>1327300000</v>
      </c>
      <c r="E77" s="43">
        <f>IF(OR(ISBLANK(B77),B77="",ISBLANK(D77),D77="",D77&lt;=0,$L77="متغیر"),"",(B77-D77)/D77)</f>
        <v/>
      </c>
      <c r="F77" s="20" t="n">
        <v>1260935000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یخچال و فریزر</t>
        </is>
      </c>
      <c r="J77" s="22" t="inlineStr">
        <is>
          <t>یخچال و فریزر کلور</t>
        </is>
      </c>
      <c r="K77" s="22" t="inlineStr">
        <is>
          <t>کلور</t>
        </is>
      </c>
      <c r="L77" s="22" t="inlineStr">
        <is>
          <t>تنوع</t>
        </is>
      </c>
      <c r="M77" s="22" t="inlineStr">
        <is>
          <t>رنگ: استیل</t>
        </is>
      </c>
      <c r="N77" s="22" t="n"/>
      <c r="O77" s="22" t="n"/>
      <c r="P77" s="32" t="n"/>
      <c r="Q77" s="22" t="n"/>
      <c r="R77" s="22" t="inlineStr">
        <is>
          <t>ثبت‌شده در سایت</t>
        </is>
      </c>
    </row>
    <row r="78" ht="18.95" customHeight="1" s="38">
      <c r="A78" s="19" t="inlineStr">
        <is>
          <t>↳ رنگ: سفید</t>
        </is>
      </c>
      <c r="B78" s="20" t="n">
        <v>1495000000</v>
      </c>
      <c r="C78" s="20">
        <f>IF(OR(ISBLANK(B78),B78=""),"",IF($L78="متغیر","⚠️ والد متغیر نباید قیمت داشته باشد",B78/10))</f>
        <v/>
      </c>
      <c r="D78" s="20" t="n">
        <v>1495000000</v>
      </c>
      <c r="E78" s="43">
        <f>IF(OR(ISBLANK(B78),B78="",ISBLANK(D78),D78="",D78&lt;=0,$L78="متغیر"),"",(B78-D78)/D78)</f>
        <v/>
      </c>
      <c r="F78" s="20" t="n">
        <v>1420250000</v>
      </c>
      <c r="G78" s="20">
        <f>IF(OR(ISBLANK(F78),F78=""),"",IF($L78="متغیر","",F78/10))</f>
        <v/>
      </c>
      <c r="H78" s="22" t="inlineStr">
        <is>
          <t>✓ موجود</t>
        </is>
      </c>
      <c r="I78" s="22" t="inlineStr">
        <is>
          <t>یخچال و فریزر</t>
        </is>
      </c>
      <c r="J78" s="22" t="inlineStr">
        <is>
          <t>یخچال و فریزر کلور</t>
        </is>
      </c>
      <c r="K78" s="22" t="inlineStr">
        <is>
          <t>کلور</t>
        </is>
      </c>
      <c r="L78" s="22" t="inlineStr">
        <is>
          <t>تنوع</t>
        </is>
      </c>
      <c r="M78" s="22" t="inlineStr">
        <is>
          <t>رنگ: سفید</t>
        </is>
      </c>
      <c r="N78" s="22" t="n"/>
      <c r="O78" s="22" t="n"/>
      <c r="P78" s="32" t="n"/>
      <c r="Q78" s="22" t="n"/>
      <c r="R78" s="22" t="inlineStr">
        <is>
          <t>ثبت‌شده در سایت</t>
        </is>
      </c>
    </row>
    <row r="79" ht="21" customHeight="1" s="38">
      <c r="A79" s="15" t="inlineStr">
        <is>
          <t>یخچال و فریزر 27 فوت کلور مدل كمبي فريزر پايين، 18 - 32 ft^3، كلور، مدل FRNT-70-GLORY PLUS-steel(home bar&amp;amp;Water cooler)، سازنده كلور ايرانيان شرق، ايران، مبرد R600a، آبسردکن اتوماتيك</t>
        </is>
      </c>
      <c r="B79" s="16" t="n"/>
      <c r="C79" s="16">
        <f>IF(OR(B79="",B79=0),"",B79/10)</f>
        <v/>
      </c>
      <c r="D79" s="16" t="n"/>
      <c r="E79" s="42">
        <f>IF(ISNUMBER(D79),(B79-D79)/D79,"")</f>
        <v/>
      </c>
      <c r="F79" s="16" t="n"/>
      <c r="G79" s="16">
        <f>IF(OR(F79="",F79=0),"",F79/10)</f>
        <v/>
      </c>
      <c r="H79" s="18" t="inlineStr">
        <is>
          <t>✓ موجود</t>
        </is>
      </c>
      <c r="I79" s="18" t="inlineStr">
        <is>
          <t>یخچال و فریزر</t>
        </is>
      </c>
      <c r="J79" s="18" t="inlineStr">
        <is>
          <t>یخچال و فریزر کلور</t>
        </is>
      </c>
      <c r="K79" s="18" t="inlineStr">
        <is>
          <t>کلور</t>
        </is>
      </c>
      <c r="L79" s="18" t="inlineStr">
        <is>
          <t>متغیر</t>
        </is>
      </c>
      <c r="M79" s="18" t="inlineStr">
        <is>
          <t>شامل 2 تنوع</t>
        </is>
      </c>
      <c r="N79" s="18" t="inlineStr">
        <is>
          <t>2497</t>
        </is>
      </c>
      <c r="O79" s="18" t="n"/>
      <c r="P79" s="31" t="inlineStr">
        <is>
          <t>https://hosseinykala.ir/?p=2497</t>
        </is>
      </c>
      <c r="Q79" s="18" t="n"/>
      <c r="R79" s="18" t="inlineStr">
        <is>
          <t>ثبت‌شده در سایت</t>
        </is>
      </c>
    </row>
    <row r="80" ht="18.95" customHeight="1" s="38">
      <c r="A80" s="19" t="inlineStr">
        <is>
          <t>↳ رنگ: استیل</t>
        </is>
      </c>
      <c r="B80" s="20" t="n">
        <v>1885000000</v>
      </c>
      <c r="C80" s="20">
        <f>IF(OR(ISBLANK(B80),B80=""),"",IF($L80="متغیر","⚠️ والد متغیر نباید قیمت داشته باشد",B80/10))</f>
        <v/>
      </c>
      <c r="D80" s="20" t="n">
        <v>1885000000</v>
      </c>
      <c r="E80" s="43">
        <f>IF(OR(ISBLANK(B80),B80="",ISBLANK(D80),D80="",D80&lt;=0,$L80="متغیر"),"",(B80-D80)/D80)</f>
        <v/>
      </c>
      <c r="F80" s="20" t="n">
        <v>1790750000</v>
      </c>
      <c r="G80" s="20">
        <f>IF(OR(ISBLANK(F80),F80=""),"",IF($L80="متغیر","",F80/10))</f>
        <v/>
      </c>
      <c r="H80" s="22" t="inlineStr">
        <is>
          <t>✓ موجود</t>
        </is>
      </c>
      <c r="I80" s="22" t="inlineStr">
        <is>
          <t>یخچال و فریزر</t>
        </is>
      </c>
      <c r="J80" s="22" t="inlineStr">
        <is>
          <t>یخچال و فریزر کلور</t>
        </is>
      </c>
      <c r="K80" s="22" t="inlineStr">
        <is>
          <t>کلور</t>
        </is>
      </c>
      <c r="L80" s="22" t="inlineStr">
        <is>
          <t>تنوع</t>
        </is>
      </c>
      <c r="M80" s="22" t="inlineStr">
        <is>
          <t>رنگ: استیل</t>
        </is>
      </c>
      <c r="N80" s="22" t="inlineStr">
        <is>
          <t>2497</t>
        </is>
      </c>
      <c r="O80" s="22" t="n">
        <v>2504</v>
      </c>
      <c r="P80" s="32" t="inlineStr">
        <is>
          <t>https://hosseinykala.ir/?p=2497</t>
        </is>
      </c>
      <c r="Q80" s="22" t="n"/>
      <c r="R80" s="22" t="inlineStr">
        <is>
          <t>ثبت‌شده در سایت</t>
        </is>
      </c>
    </row>
    <row r="81" ht="18.95" customHeight="1" s="38">
      <c r="A81" s="19" t="inlineStr">
        <is>
          <t>↳ رنگ: سفید</t>
        </is>
      </c>
      <c r="B81" s="20" t="n">
        <v>1820000000</v>
      </c>
      <c r="C81" s="20">
        <f>IF(OR(ISBLANK(B81),B81=""),"",IF($L81="متغیر","⚠️ والد متغیر نباید قیمت داشته باشد",B81/10))</f>
        <v/>
      </c>
      <c r="D81" s="20" t="n">
        <v>1820000000</v>
      </c>
      <c r="E81" s="43">
        <f>IF(OR(ISBLANK(B81),B81="",ISBLANK(D81),D81="",D81&lt;=0,$L81="متغیر"),"",(B81-D81)/D81)</f>
        <v/>
      </c>
      <c r="F81" s="20" t="n">
        <v>1729000000</v>
      </c>
      <c r="G81" s="20">
        <f>IF(OR(ISBLANK(F81),F81=""),"",IF($L81="متغیر","",F81/10))</f>
        <v/>
      </c>
      <c r="H81" s="22" t="inlineStr">
        <is>
          <t>✓ موجود</t>
        </is>
      </c>
      <c r="I81" s="22" t="inlineStr">
        <is>
          <t>یخچال و فریزر</t>
        </is>
      </c>
      <c r="J81" s="22" t="inlineStr">
        <is>
          <t>یخچال و فریزر کلور</t>
        </is>
      </c>
      <c r="K81" s="22" t="inlineStr">
        <is>
          <t>کلور</t>
        </is>
      </c>
      <c r="L81" s="22" t="inlineStr">
        <is>
          <t>تنوع</t>
        </is>
      </c>
      <c r="M81" s="22" t="inlineStr">
        <is>
          <t>رنگ: سفید</t>
        </is>
      </c>
      <c r="N81" s="22" t="inlineStr">
        <is>
          <t>2497</t>
        </is>
      </c>
      <c r="O81" s="22" t="n">
        <v>2503</v>
      </c>
      <c r="P81" s="32" t="inlineStr">
        <is>
          <t>https://hosseinykala.ir/?p=2497</t>
        </is>
      </c>
      <c r="Q81" s="22" t="n"/>
      <c r="R81" s="22" t="inlineStr">
        <is>
          <t>ثبت‌شده در سایت</t>
        </is>
      </c>
    </row>
    <row r="82" ht="21.95" customHeight="1" s="38">
      <c r="A82" s="39" t="inlineStr">
        <is>
          <t xml:space="preserve">  📂 یخچال و فریزر  ◀  ایستکول</t>
        </is>
      </c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1" t="n"/>
    </row>
    <row r="83" ht="21" customHeight="1" s="38">
      <c r="A83" s="15" t="inlineStr">
        <is>
          <t>یخچال 5 فوت ایستکول مدل 2835</t>
        </is>
      </c>
      <c r="B83" s="16" t="n"/>
      <c r="C83" s="16">
        <f>IF(OR(B83="",B83=0),"",B83/10)</f>
        <v/>
      </c>
      <c r="D83" s="16" t="n"/>
      <c r="E83" s="42">
        <f>IF(ISNUMBER(D83),(B83-D83)/D83,"")</f>
        <v/>
      </c>
      <c r="F83" s="16" t="n"/>
      <c r="G83" s="16">
        <f>IF(OR(F83="",F83=0),"",F83/10)</f>
        <v/>
      </c>
      <c r="H83" s="18" t="inlineStr">
        <is>
          <t>✓ موجود</t>
        </is>
      </c>
      <c r="I83" s="18" t="inlineStr">
        <is>
          <t>یخچال و فریزر</t>
        </is>
      </c>
      <c r="J83" s="18" t="inlineStr">
        <is>
          <t>یخچال و فریزر ایستکول</t>
        </is>
      </c>
      <c r="K83" s="18" t="inlineStr">
        <is>
          <t>ایستکول</t>
        </is>
      </c>
      <c r="L83" s="18" t="inlineStr">
        <is>
          <t>متغیر</t>
        </is>
      </c>
      <c r="M83" s="18" t="inlineStr">
        <is>
          <t>شامل 2 تنوع</t>
        </is>
      </c>
      <c r="N83" s="18" t="inlineStr">
        <is>
          <t>2704</t>
        </is>
      </c>
      <c r="O83" s="18" t="n"/>
      <c r="P83" s="31" t="inlineStr">
        <is>
          <t>https://hosseinykala.ir/?p=2704</t>
        </is>
      </c>
      <c r="Q83" s="18" t="n"/>
      <c r="R83" s="18" t="inlineStr">
        <is>
          <t>ثبت‌شده در سایت</t>
        </is>
      </c>
    </row>
    <row r="84" ht="18.95" customHeight="1" s="38">
      <c r="A84" s="19" t="inlineStr">
        <is>
          <t>↳ رنگ: استیل</t>
        </is>
      </c>
      <c r="B84" s="20" t="n">
        <v>429000000</v>
      </c>
      <c r="C84" s="20">
        <f>IF(OR(ISBLANK(B84),B84=""),"",IF($L84="متغیر","⚠️ والد متغیر نباید قیمت داشته باشد",B84/10))</f>
        <v/>
      </c>
      <c r="D84" s="20" t="n">
        <v>429000000</v>
      </c>
      <c r="E84" s="43">
        <f>IF(OR(ISBLANK(B84),B84="",ISBLANK(D84),D84="",D84&lt;=0,$L84="متغیر"),"",(B84-D84)/D84)</f>
        <v/>
      </c>
      <c r="F84" s="20" t="n">
        <v>407550000</v>
      </c>
      <c r="G84" s="20">
        <f>IF(OR(ISBLANK(F84),F84=""),"",IF($L84="متغیر","",F84/10))</f>
        <v/>
      </c>
      <c r="H84" s="22" t="inlineStr">
        <is>
          <t>✓ موجود</t>
        </is>
      </c>
      <c r="I84" s="22" t="inlineStr">
        <is>
          <t>یخچال و فریزر</t>
        </is>
      </c>
      <c r="J84" s="22" t="inlineStr">
        <is>
          <t>یخچال و فریزر ایستکول</t>
        </is>
      </c>
      <c r="K84" s="22" t="inlineStr">
        <is>
          <t>ایستکول</t>
        </is>
      </c>
      <c r="L84" s="22" t="inlineStr">
        <is>
          <t>تنوع</t>
        </is>
      </c>
      <c r="M84" s="22" t="inlineStr">
        <is>
          <t>رنگ: استیل</t>
        </is>
      </c>
      <c r="N84" s="22" t="inlineStr">
        <is>
          <t>2704</t>
        </is>
      </c>
      <c r="O84" s="22" t="n">
        <v>2734</v>
      </c>
      <c r="P84" s="32" t="inlineStr">
        <is>
          <t>https://hosseinykala.ir/?p=2704</t>
        </is>
      </c>
      <c r="Q84" s="22" t="n"/>
      <c r="R84" s="22" t="inlineStr">
        <is>
          <t>ثبت‌شده در سایت</t>
        </is>
      </c>
    </row>
    <row r="85" ht="18.95" customHeight="1" s="38">
      <c r="A85" s="19" t="inlineStr">
        <is>
          <t>↳ رنگ: سفید</t>
        </is>
      </c>
      <c r="B85" s="20" t="n">
        <v>403000000</v>
      </c>
      <c r="C85" s="20">
        <f>IF(OR(ISBLANK(B85),B85=""),"",IF($L85="متغیر","⚠️ والد متغیر نباید قیمت داشته باشد",B85/10))</f>
        <v/>
      </c>
      <c r="D85" s="20" t="n">
        <v>403000000</v>
      </c>
      <c r="E85" s="43">
        <f>IF(OR(ISBLANK(B85),B85="",ISBLANK(D85),D85="",D85&lt;=0,$L85="متغیر"),"",(B85-D85)/D85)</f>
        <v/>
      </c>
      <c r="F85" s="20" t="n">
        <v>382850000</v>
      </c>
      <c r="G85" s="20">
        <f>IF(OR(ISBLANK(F85),F85=""),"",IF($L85="متغیر","",F85/10))</f>
        <v/>
      </c>
      <c r="H85" s="22" t="inlineStr">
        <is>
          <t>✓ موجود</t>
        </is>
      </c>
      <c r="I85" s="22" t="inlineStr">
        <is>
          <t>یخچال و فریزر</t>
        </is>
      </c>
      <c r="J85" s="22" t="inlineStr">
        <is>
          <t>یخچال و فریزر ایستکول</t>
        </is>
      </c>
      <c r="K85" s="22" t="inlineStr">
        <is>
          <t>ایستکول</t>
        </is>
      </c>
      <c r="L85" s="22" t="inlineStr">
        <is>
          <t>تنوع</t>
        </is>
      </c>
      <c r="M85" s="22" t="inlineStr">
        <is>
          <t>رنگ: سفید</t>
        </is>
      </c>
      <c r="N85" s="22" t="inlineStr">
        <is>
          <t>2704</t>
        </is>
      </c>
      <c r="O85" s="22" t="n">
        <v>2733</v>
      </c>
      <c r="P85" s="32" t="inlineStr">
        <is>
          <t>https://hosseinykala.ir/?p=2704</t>
        </is>
      </c>
      <c r="Q85" s="22" t="n"/>
      <c r="R85" s="22" t="inlineStr">
        <is>
          <t>ثبت‌شده در سایت</t>
        </is>
      </c>
    </row>
    <row r="86" ht="21" customHeight="1" s="38">
      <c r="A86" s="15" t="inlineStr">
        <is>
          <t>یخچال فریزر 9 فوت ایستکول مدل هتلی 2919، با ارتفاع 108، عمق 56 و پهنای 54 سانتی‌ متر، مصرف انرژی A، دارای 3 طبقه در یخچال و 1 طبقه در فریزر، دارای کندانسور مخفی</t>
        </is>
      </c>
      <c r="B86" s="16" t="n"/>
      <c r="C86" s="16">
        <f>IF(OR(B86="",B86=0),"",B86/10)</f>
        <v/>
      </c>
      <c r="D86" s="16" t="n"/>
      <c r="E86" s="42">
        <f>IF(ISNUMBER(D86),(B86-D86)/D86,"")</f>
        <v/>
      </c>
      <c r="F86" s="16" t="n"/>
      <c r="G86" s="16">
        <f>IF(OR(F86="",F86=0),"",F86/10)</f>
        <v/>
      </c>
      <c r="H86" s="18" t="inlineStr">
        <is>
          <t>✓ موجود</t>
        </is>
      </c>
      <c r="I86" s="18" t="inlineStr">
        <is>
          <t>یخچال و فریزر</t>
        </is>
      </c>
      <c r="J86" s="18" t="inlineStr">
        <is>
          <t>یخچال و فریزر ایستکول</t>
        </is>
      </c>
      <c r="K86" s="18" t="inlineStr">
        <is>
          <t>ایستکول</t>
        </is>
      </c>
      <c r="L86" s="18" t="inlineStr">
        <is>
          <t>متغیر</t>
        </is>
      </c>
      <c r="M86" s="18" t="inlineStr">
        <is>
          <t>شامل 2 تنوع</t>
        </is>
      </c>
      <c r="N86" s="18" t="inlineStr">
        <is>
          <t>2691</t>
        </is>
      </c>
      <c r="O86" s="18" t="n"/>
      <c r="P86" s="31" t="inlineStr">
        <is>
          <t>https://hosseinykala.ir/?p=2691</t>
        </is>
      </c>
      <c r="Q86" s="18" t="n"/>
      <c r="R86" s="18" t="inlineStr">
        <is>
          <t>ثبت‌شده در سایت</t>
        </is>
      </c>
    </row>
    <row r="87" ht="18.95" customHeight="1" s="38">
      <c r="A87" s="19" t="inlineStr">
        <is>
          <t>↳ رنگ: استیل</t>
        </is>
      </c>
      <c r="B87" s="20" t="n">
        <v>480000000</v>
      </c>
      <c r="C87" s="20">
        <f>IF(OR(ISBLANK(B87),B87=""),"",IF($L87="متغیر","⚠️ والد متغیر نباید قیمت داشته باشد",B87/10))</f>
        <v/>
      </c>
      <c r="D87" s="20" t="n">
        <v>480000000</v>
      </c>
      <c r="E87" s="43">
        <f>IF(OR(ISBLANK(B87),B87="",ISBLANK(D87),D87="",D87&lt;=0,$L87="متغیر"),"",(B87-D87)/D87)</f>
        <v/>
      </c>
      <c r="F87" s="20" t="n">
        <v>456000000</v>
      </c>
      <c r="G87" s="20">
        <f>IF(OR(ISBLANK(F87),F87=""),"",IF($L87="متغیر","",F87/10))</f>
        <v/>
      </c>
      <c r="H87" s="22" t="inlineStr">
        <is>
          <t>✓ موجود</t>
        </is>
      </c>
      <c r="I87" s="22" t="inlineStr">
        <is>
          <t>یخچال و فریزر</t>
        </is>
      </c>
      <c r="J87" s="22" t="inlineStr">
        <is>
          <t>یخچال و فریزر ایستکول</t>
        </is>
      </c>
      <c r="K87" s="22" t="inlineStr">
        <is>
          <t>ایستکول</t>
        </is>
      </c>
      <c r="L87" s="22" t="inlineStr">
        <is>
          <t>تنوع</t>
        </is>
      </c>
      <c r="M87" s="22" t="inlineStr">
        <is>
          <t>رنگ: استیل</t>
        </is>
      </c>
      <c r="N87" s="22" t="inlineStr">
        <is>
          <t>2691</t>
        </is>
      </c>
      <c r="O87" s="22" t="n">
        <v>2702</v>
      </c>
      <c r="P87" s="32" t="inlineStr">
        <is>
          <t>https://hosseinykala.ir/?p=2691</t>
        </is>
      </c>
      <c r="Q87" s="22" t="n"/>
      <c r="R87" s="22" t="inlineStr">
        <is>
          <t>ثبت‌شده در سایت</t>
        </is>
      </c>
    </row>
    <row r="88" ht="18.95" customHeight="1" s="38">
      <c r="A88" s="19" t="inlineStr">
        <is>
          <t>↳ رنگ: سفید</t>
        </is>
      </c>
      <c r="B88" s="20" t="n">
        <v>470000000</v>
      </c>
      <c r="C88" s="20">
        <f>IF(OR(ISBLANK(B88),B88=""),"",IF($L88="متغیر","⚠️ والد متغیر نباید قیمت داشته باشد",B88/10))</f>
        <v/>
      </c>
      <c r="D88" s="20" t="n">
        <v>470000000</v>
      </c>
      <c r="E88" s="43">
        <f>IF(OR(ISBLANK(B88),B88="",ISBLANK(D88),D88="",D88&lt;=0,$L88="متغیر"),"",(B88-D88)/D88)</f>
        <v/>
      </c>
      <c r="F88" s="20" t="n">
        <v>446500000</v>
      </c>
      <c r="G88" s="20">
        <f>IF(OR(ISBLANK(F88),F88=""),"",IF($L88="متغیر","",F88/10))</f>
        <v/>
      </c>
      <c r="H88" s="22" t="inlineStr">
        <is>
          <t>✓ موجود</t>
        </is>
      </c>
      <c r="I88" s="22" t="inlineStr">
        <is>
          <t>یخچال و فریزر</t>
        </is>
      </c>
      <c r="J88" s="22" t="inlineStr">
        <is>
          <t>یخچال و فریزر ایستکول</t>
        </is>
      </c>
      <c r="K88" s="22" t="inlineStr">
        <is>
          <t>ایستکول</t>
        </is>
      </c>
      <c r="L88" s="22" t="inlineStr">
        <is>
          <t>تنوع</t>
        </is>
      </c>
      <c r="M88" s="22" t="inlineStr">
        <is>
          <t>رنگ: سفید</t>
        </is>
      </c>
      <c r="N88" s="22" t="inlineStr">
        <is>
          <t>2691</t>
        </is>
      </c>
      <c r="O88" s="22" t="n">
        <v>2701</v>
      </c>
      <c r="P88" s="32" t="inlineStr">
        <is>
          <t>https://hosseinykala.ir/?p=2691</t>
        </is>
      </c>
      <c r="Q88" s="22" t="n"/>
      <c r="R88" s="22" t="inlineStr">
        <is>
          <t>ثبت‌شده در سایت</t>
        </is>
      </c>
    </row>
    <row r="89" ht="21.95" customHeight="1" s="38">
      <c r="A89" s="39" t="inlineStr">
        <is>
          <t xml:space="preserve">  📂 یخچال و فریزر  ◀  بست</t>
        </is>
      </c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1" t="n"/>
    </row>
    <row r="90" ht="21" customHeight="1" s="38">
      <c r="A90" s="23" t="inlineStr">
        <is>
          <t>یخچال و فریزر 24 فوت بست مدل BRB241-10</t>
        </is>
      </c>
      <c r="B90" s="24" t="n">
        <v>950000000</v>
      </c>
      <c r="C90" s="24">
        <f>IF(OR(ISBLANK(B90),B90=""),"",IF($L90="متغیر","⚠️ والد متغیر نباید قیمت داشته باشد",B90/10))</f>
        <v/>
      </c>
      <c r="D90" s="24" t="n">
        <v>950000000</v>
      </c>
      <c r="E90" s="44">
        <f>IF(OR(ISBLANK(B90),B90="",ISBLANK(D90),D90="",D90&lt;=0,$L90="متغیر"),"",(B90-D90)/D90)</f>
        <v/>
      </c>
      <c r="F90" s="24" t="n">
        <v>902500000</v>
      </c>
      <c r="G90" s="24">
        <f>IF(OR(ISBLANK(F90),F90=""),"",IF($L90="متغیر","",F90/10))</f>
        <v/>
      </c>
      <c r="H90" s="26" t="inlineStr">
        <is>
          <t>✓ موجود</t>
        </is>
      </c>
      <c r="I90" s="26" t="inlineStr">
        <is>
          <t>یخچال و فریزر</t>
        </is>
      </c>
      <c r="J90" s="26" t="inlineStr">
        <is>
          <t>یخچال و فریزر بست</t>
        </is>
      </c>
      <c r="K90" s="26" t="inlineStr">
        <is>
          <t>بست</t>
        </is>
      </c>
      <c r="L90" s="26" t="inlineStr">
        <is>
          <t>ساده</t>
        </is>
      </c>
      <c r="M90" s="26" t="n"/>
      <c r="N90" s="26" t="inlineStr">
        <is>
          <t>3389</t>
        </is>
      </c>
      <c r="O90" s="26" t="n"/>
      <c r="P90" s="33" t="inlineStr">
        <is>
          <t>https://hosseinykala.ir/?p=3389</t>
        </is>
      </c>
      <c r="Q90" s="26" t="n"/>
      <c r="R90" s="26" t="inlineStr">
        <is>
          <t>ثبت‌شده در سایت</t>
        </is>
      </c>
    </row>
    <row r="91" ht="21.95" customHeight="1" s="38">
      <c r="A91" s="39" t="inlineStr">
        <is>
          <t xml:space="preserve">  📂 یخچال و فریزر  ◀  تکنوسان</t>
        </is>
      </c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1" t="n"/>
    </row>
    <row r="92" ht="21" customHeight="1" s="38">
      <c r="A92" s="23" t="inlineStr">
        <is>
          <t>فریزر صندوقی تکنوسان مدل سفید بزرگ</t>
        </is>
      </c>
      <c r="B92" s="24" t="n"/>
      <c r="C92" s="24">
        <f>IF(OR(ISBLANK(B92),B92=""),"",IF($L92="متغیر","⚠️ والد متغیر نباید قیمت داشته باشد",B92/10))</f>
        <v/>
      </c>
      <c r="D92" s="24" t="n"/>
      <c r="E92" s="44">
        <f>IF(OR(ISBLANK(B92),B92="",ISBLANK(D92),D92="",D92&lt;=0,$L92="متغیر"),"",(B92-D92)/D92)</f>
        <v/>
      </c>
      <c r="F92" s="24" t="n"/>
      <c r="G92" s="24">
        <f>IF(OR(ISBLANK(F92),F92=""),"",IF($L92="متغیر","",F92/10))</f>
        <v/>
      </c>
      <c r="H92" s="26" t="inlineStr">
        <is>
          <t>✗ ناموجود</t>
        </is>
      </c>
      <c r="I92" s="26" t="inlineStr">
        <is>
          <t>یخچال و فریزر</t>
        </is>
      </c>
      <c r="J92" s="26" t="inlineStr">
        <is>
          <t>یخچال و فریزر تکنوسان</t>
        </is>
      </c>
      <c r="K92" s="26" t="inlineStr">
        <is>
          <t>تکنوسان</t>
        </is>
      </c>
      <c r="L92" s="26" t="inlineStr">
        <is>
          <t>ساده</t>
        </is>
      </c>
      <c r="M92" s="26" t="n"/>
      <c r="N92" s="26" t="inlineStr">
        <is>
          <t>4024</t>
        </is>
      </c>
      <c r="O92" s="26" t="n"/>
      <c r="P92" s="33" t="inlineStr">
        <is>
          <t>https://hosseinykala.ir/product/technosan-large-chest-freezer-white/</t>
        </is>
      </c>
      <c r="Q92" s="26" t="n"/>
      <c r="R92" s="26" t="inlineStr">
        <is>
          <t>ثبت‌شده در سایت</t>
        </is>
      </c>
    </row>
    <row r="93" ht="21.95" customHeight="1" s="38">
      <c r="A93" s="39" t="inlineStr">
        <is>
          <t xml:space="preserve">  📂 یخچال و فریزر  ◀  ریگور</t>
        </is>
      </c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1" t="n"/>
    </row>
    <row r="94" ht="21" customHeight="1" s="38">
      <c r="A94" s="23" t="inlineStr">
        <is>
          <t>فریزر تک خانگی ریگور</t>
        </is>
      </c>
      <c r="B94" s="24" t="n"/>
      <c r="C94" s="24">
        <f>IF(OR(ISBLANK(B94),B94=""),"",IF($L94="متغیر","⚠️ والد متغیر نباید قیمت داشته باشد",B94/10))</f>
        <v/>
      </c>
      <c r="D94" s="24" t="n"/>
      <c r="E94" s="44">
        <f>IF(OR(ISBLANK(B94),B94="",ISBLANK(D94),D94="",D94&lt;=0,$L94="متغیر"),"",(B94-D94)/D94)</f>
        <v/>
      </c>
      <c r="F94" s="24" t="n"/>
      <c r="G94" s="24">
        <f>IF(OR(ISBLANK(F94),F94=""),"",IF($L94="متغیر","",F94/10))</f>
        <v/>
      </c>
      <c r="H94" s="26" t="inlineStr">
        <is>
          <t>✗ ناموجود</t>
        </is>
      </c>
      <c r="I94" s="26" t="inlineStr">
        <is>
          <t>یخچال و فریزر</t>
        </is>
      </c>
      <c r="J94" s="26" t="inlineStr">
        <is>
          <t>یخچال و فریزر ریگور</t>
        </is>
      </c>
      <c r="K94" s="26" t="inlineStr">
        <is>
          <t>ریگور</t>
        </is>
      </c>
      <c r="L94" s="26" t="inlineStr">
        <is>
          <t>ساده</t>
        </is>
      </c>
      <c r="M94" s="26" t="n"/>
      <c r="N94" s="26" t="n"/>
      <c r="O94" s="26" t="n"/>
      <c r="P94" s="33" t="n"/>
      <c r="Q94" s="26" t="n"/>
      <c r="R94" s="26" t="inlineStr">
        <is>
          <t>فعلا دست نگه دار</t>
        </is>
      </c>
    </row>
    <row r="95" ht="21.95" customHeight="1" s="38">
      <c r="A95" s="39" t="inlineStr">
        <is>
          <t xml:space="preserve">  📂 یخچال و فریزر  ◀  نیکسان</t>
        </is>
      </c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1" t="n"/>
    </row>
    <row r="96" ht="21" customHeight="1" s="38">
      <c r="A96" s="15" t="inlineStr">
        <is>
          <t>یخچال و فریزر کمبی نیکسان مدل RF84102E2</t>
        </is>
      </c>
      <c r="B96" s="16" t="n"/>
      <c r="C96" s="16">
        <f>IF(OR(B96="",B96=0),"",B96/10)</f>
        <v/>
      </c>
      <c r="D96" s="16" t="n"/>
      <c r="E96" s="42">
        <f>IF(ISNUMBER(D96),(B96-D96)/D96,"")</f>
        <v/>
      </c>
      <c r="F96" s="16" t="n"/>
      <c r="G96" s="16">
        <f>IF(OR(F96="",F96=0),"",F96/10)</f>
        <v/>
      </c>
      <c r="H96" s="18" t="inlineStr">
        <is>
          <t>✓ موجود</t>
        </is>
      </c>
      <c r="I96" s="18" t="inlineStr">
        <is>
          <t>یخچال و فریزر</t>
        </is>
      </c>
      <c r="J96" s="18" t="inlineStr">
        <is>
          <t>یخچال و فریزر نیکسان</t>
        </is>
      </c>
      <c r="K96" s="18" t="inlineStr">
        <is>
          <t>نیکسان</t>
        </is>
      </c>
      <c r="L96" s="18" t="inlineStr">
        <is>
          <t>متغیر</t>
        </is>
      </c>
      <c r="M96" s="18" t="inlineStr">
        <is>
          <t>شامل 2 تنوع</t>
        </is>
      </c>
      <c r="N96" s="18" t="inlineStr">
        <is>
          <t>4027</t>
        </is>
      </c>
      <c r="O96" s="18" t="n"/>
      <c r="P96" s="31" t="inlineStr">
        <is>
          <t>https://hosseinykala.ir/product/niksan-rf84102e2-combi-refrigerator/</t>
        </is>
      </c>
      <c r="Q96" s="18" t="n"/>
      <c r="R96" s="18" t="inlineStr">
        <is>
          <t>ثبت‌شده در سایت</t>
        </is>
      </c>
    </row>
    <row r="97" ht="18.95" customHeight="1" s="38">
      <c r="A97" s="19" t="inlineStr">
        <is>
          <t>↳ رنگ: استیل</t>
        </is>
      </c>
      <c r="B97" s="20" t="n">
        <v>1450000000</v>
      </c>
      <c r="C97" s="20">
        <f>IF(OR(ISBLANK(B97),B97=""),"",IF($L97="متغیر","⚠️ والد متغیر نباید قیمت داشته باشد",B97/10))</f>
        <v/>
      </c>
      <c r="D97" s="20" t="n">
        <v>1450000000</v>
      </c>
      <c r="E97" s="43">
        <f>IF(OR(ISBLANK(B97),B97="",ISBLANK(D97),D97="",D97&lt;=0,$L97="متغیر"),"",(B97-D97)/D97)</f>
        <v/>
      </c>
      <c r="F97" s="20" t="n">
        <v>1377500000</v>
      </c>
      <c r="G97" s="20">
        <f>IF(OR(ISBLANK(F97),F97=""),"",IF($L97="متغیر","",F97/10))</f>
        <v/>
      </c>
      <c r="H97" s="22" t="inlineStr">
        <is>
          <t>✓ موجود</t>
        </is>
      </c>
      <c r="I97" s="22" t="inlineStr">
        <is>
          <t>یخچال و فریزر</t>
        </is>
      </c>
      <c r="J97" s="22" t="inlineStr">
        <is>
          <t>یخچال و فریزر نیکسان</t>
        </is>
      </c>
      <c r="K97" s="22" t="inlineStr">
        <is>
          <t>نیکسان</t>
        </is>
      </c>
      <c r="L97" s="22" t="inlineStr">
        <is>
          <t>تنوع</t>
        </is>
      </c>
      <c r="M97" s="22" t="inlineStr">
        <is>
          <t>رنگ: استیل</t>
        </is>
      </c>
      <c r="N97" s="22" t="inlineStr">
        <is>
          <t>4027</t>
        </is>
      </c>
      <c r="O97" s="22" t="n">
        <v>4028</v>
      </c>
      <c r="P97" s="32" t="inlineStr">
        <is>
          <t>https://hosseinykala.ir/product/niksan-rf84102e2-combi-refrigerator/</t>
        </is>
      </c>
      <c r="Q97" s="22" t="n"/>
      <c r="R97" s="22" t="inlineStr">
        <is>
          <t>ثبت‌شده در سایت</t>
        </is>
      </c>
    </row>
    <row r="98" ht="18.95" customHeight="1" s="38">
      <c r="A98" s="19" t="inlineStr">
        <is>
          <t>↳ رنگ: سفید چرمی</t>
        </is>
      </c>
      <c r="B98" s="20" t="n">
        <v>1400000000</v>
      </c>
      <c r="C98" s="20">
        <f>IF(OR(ISBLANK(B98),B98=""),"",IF($L98="متغیر","⚠️ والد متغیر نباید قیمت داشته باشد",B98/10))</f>
        <v/>
      </c>
      <c r="D98" s="20" t="n">
        <v>1400000000</v>
      </c>
      <c r="E98" s="43">
        <f>IF(OR(ISBLANK(B98),B98="",ISBLANK(D98),D98="",D98&lt;=0,$L98="متغیر"),"",(B98-D98)/D98)</f>
        <v/>
      </c>
      <c r="F98" s="20" t="n">
        <v>1330000000</v>
      </c>
      <c r="G98" s="20">
        <f>IF(OR(ISBLANK(F98),F98=""),"",IF($L98="متغیر","",F98/10))</f>
        <v/>
      </c>
      <c r="H98" s="22" t="inlineStr">
        <is>
          <t>✓ موجود</t>
        </is>
      </c>
      <c r="I98" s="22" t="inlineStr">
        <is>
          <t>یخچال و فریزر</t>
        </is>
      </c>
      <c r="J98" s="22" t="inlineStr">
        <is>
          <t>یخچال و فریزر نیکسان</t>
        </is>
      </c>
      <c r="K98" s="22" t="inlineStr">
        <is>
          <t>نیکسان</t>
        </is>
      </c>
      <c r="L98" s="22" t="inlineStr">
        <is>
          <t>تنوع</t>
        </is>
      </c>
      <c r="M98" s="22" t="inlineStr">
        <is>
          <t>رنگ: سفید چرمی</t>
        </is>
      </c>
      <c r="N98" s="22" t="inlineStr">
        <is>
          <t>4027</t>
        </is>
      </c>
      <c r="O98" s="22" t="n">
        <v>4029</v>
      </c>
      <c r="P98" s="32" t="inlineStr">
        <is>
          <t>https://hosseinykala.ir/product/niksan-rf84102e2-combi-refrigerator/</t>
        </is>
      </c>
      <c r="Q98" s="22" t="n"/>
      <c r="R98" s="22" t="inlineStr">
        <is>
          <t>ثبت‌شده در سایت</t>
        </is>
      </c>
    </row>
    <row r="99" ht="21.95" customHeight="1" s="38">
      <c r="A99" s="39" t="inlineStr">
        <is>
          <t xml:space="preserve">  📂 یخچال و فریزر  ◀  الکتروسان</t>
        </is>
      </c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1" t="n"/>
    </row>
    <row r="100" ht="21" customHeight="1" s="38">
      <c r="A100" s="15" t="inlineStr">
        <is>
          <t>فریزر صندوقی الکتروسان مدل کم‌مصرف سوپر سایلنت</t>
        </is>
      </c>
      <c r="B100" s="16" t="n"/>
      <c r="C100" s="16">
        <f>IF(OR(B100="",B100=0),"",B100/10)</f>
        <v/>
      </c>
      <c r="D100" s="16" t="n"/>
      <c r="E100" s="42">
        <f>IF(ISNUMBER(D100),(B100-D100)/D100,"")</f>
        <v/>
      </c>
      <c r="F100" s="16" t="n"/>
      <c r="G100" s="16">
        <f>IF(OR(F100="",F100=0),"",F100/10)</f>
        <v/>
      </c>
      <c r="H100" s="18" t="inlineStr">
        <is>
          <t>✓ موجود</t>
        </is>
      </c>
      <c r="I100" s="18" t="inlineStr">
        <is>
          <t>یخچال و فریزر</t>
        </is>
      </c>
      <c r="J100" s="18" t="inlineStr">
        <is>
          <t>یخچال و فریزر الکتروسان</t>
        </is>
      </c>
      <c r="K100" s="18" t="inlineStr">
        <is>
          <t>الکتروسان</t>
        </is>
      </c>
      <c r="L100" s="18" t="inlineStr">
        <is>
          <t>متغیر</t>
        </is>
      </c>
      <c r="M100" s="18" t="inlineStr">
        <is>
          <t>شامل 3 تنوع</t>
        </is>
      </c>
      <c r="N100" s="18" t="inlineStr">
        <is>
          <t>3513</t>
        </is>
      </c>
      <c r="O100" s="18" t="n"/>
      <c r="P100" s="31" t="inlineStr">
        <is>
          <t>https://hosseinykala.ir/?p=3513</t>
        </is>
      </c>
      <c r="Q100" s="18" t="n"/>
      <c r="R100" s="18" t="inlineStr">
        <is>
          <t>ثبت‌شده در سایت</t>
        </is>
      </c>
    </row>
    <row r="101" ht="18.95" customHeight="1" s="38">
      <c r="A101" s="19" t="inlineStr">
        <is>
          <t>↳ طول: 140 سانتیمتر</t>
        </is>
      </c>
      <c r="B101" s="20" t="n">
        <v>845000000</v>
      </c>
      <c r="C101" s="20">
        <f>IF(OR(ISBLANK(B101),B101=""),"",IF($L101="متغیر","⚠️ والد متغیر نباید قیمت داشته باشد",B101/10))</f>
        <v/>
      </c>
      <c r="D101" s="20" t="n">
        <v>845000000</v>
      </c>
      <c r="E101" s="43">
        <f>IF(OR(ISBLANK(B101),B101="",ISBLANK(D101),D101="",D101&lt;=0,$L101="متغیر"),"",(B101-D101)/D101)</f>
        <v/>
      </c>
      <c r="F101" s="20" t="n">
        <v>802750000</v>
      </c>
      <c r="G101" s="20">
        <f>IF(OR(ISBLANK(F101),F101=""),"",IF($L101="متغیر","",F101/10))</f>
        <v/>
      </c>
      <c r="H101" s="22" t="inlineStr">
        <is>
          <t>✓ موجود</t>
        </is>
      </c>
      <c r="I101" s="22" t="inlineStr">
        <is>
          <t>یخچال و فریزر</t>
        </is>
      </c>
      <c r="J101" s="22" t="inlineStr">
        <is>
          <t>یخچال و فریزر الکتروسان</t>
        </is>
      </c>
      <c r="K101" s="22" t="inlineStr">
        <is>
          <t>الکتروسان</t>
        </is>
      </c>
      <c r="L101" s="22" t="inlineStr">
        <is>
          <t>تنوع</t>
        </is>
      </c>
      <c r="M101" s="22" t="inlineStr">
        <is>
          <t>طول: 140 سانتیمتر</t>
        </is>
      </c>
      <c r="N101" s="22" t="inlineStr">
        <is>
          <t>3513</t>
        </is>
      </c>
      <c r="O101" s="22" t="n">
        <v>3807</v>
      </c>
      <c r="P101" s="32" t="inlineStr">
        <is>
          <t>https://hosseinykala.ir/?p=3513</t>
        </is>
      </c>
      <c r="Q101" s="22" t="n"/>
      <c r="R101" s="22" t="inlineStr">
        <is>
          <t>ثبت‌شده در سایت</t>
        </is>
      </c>
    </row>
    <row r="102" ht="18.95" customHeight="1" s="38">
      <c r="A102" s="19" t="inlineStr">
        <is>
          <t>↳ طول: 110 سانتیمتر</t>
        </is>
      </c>
      <c r="B102" s="20" t="n">
        <v>640000000</v>
      </c>
      <c r="C102" s="20">
        <f>IF(OR(ISBLANK(B102),B102=""),"",IF($L102="متغیر","⚠️ والد متغیر نباید قیمت داشته باشد",B102/10))</f>
        <v/>
      </c>
      <c r="D102" s="20" t="n">
        <v>640000000</v>
      </c>
      <c r="E102" s="43">
        <f>IF(OR(ISBLANK(B102),B102="",ISBLANK(D102),D102="",D102&lt;=0,$L102="متغیر"),"",(B102-D102)/D102)</f>
        <v/>
      </c>
      <c r="F102" s="20" t="n">
        <v>608000000</v>
      </c>
      <c r="G102" s="20">
        <f>IF(OR(ISBLANK(F102),F102=""),"",IF($L102="متغیر","",F102/10))</f>
        <v/>
      </c>
      <c r="H102" s="22" t="inlineStr">
        <is>
          <t>✓ موجود</t>
        </is>
      </c>
      <c r="I102" s="22" t="inlineStr">
        <is>
          <t>یخچال و فریزر</t>
        </is>
      </c>
      <c r="J102" s="22" t="inlineStr">
        <is>
          <t>یخچال و فریزر الکتروسان</t>
        </is>
      </c>
      <c r="K102" s="22" t="inlineStr">
        <is>
          <t>الکتروسان</t>
        </is>
      </c>
      <c r="L102" s="22" t="inlineStr">
        <is>
          <t>تنوع</t>
        </is>
      </c>
      <c r="M102" s="22" t="inlineStr">
        <is>
          <t>طول: 110 سانتیمتر</t>
        </is>
      </c>
      <c r="N102" s="22" t="inlineStr">
        <is>
          <t>3513</t>
        </is>
      </c>
      <c r="O102" s="22" t="n">
        <v>3806</v>
      </c>
      <c r="P102" s="32" t="inlineStr">
        <is>
          <t>https://hosseinykala.ir/?p=3513</t>
        </is>
      </c>
      <c r="Q102" s="22" t="n"/>
      <c r="R102" s="22" t="inlineStr">
        <is>
          <t>ثبت‌شده در سایت</t>
        </is>
      </c>
    </row>
    <row r="103" ht="18.95" customHeight="1" s="38">
      <c r="A103" s="19" t="inlineStr">
        <is>
          <t>↳ طول: 90 سانتیمتر</t>
        </is>
      </c>
      <c r="B103" s="20" t="n">
        <v>580000000</v>
      </c>
      <c r="C103" s="20">
        <f>IF(OR(ISBLANK(B103),B103=""),"",IF($L103="متغیر","⚠️ والد متغیر نباید قیمت داشته باشد",B103/10))</f>
        <v/>
      </c>
      <c r="D103" s="20" t="n">
        <v>580000000</v>
      </c>
      <c r="E103" s="43">
        <f>IF(OR(ISBLANK(B103),B103="",ISBLANK(D103),D103="",D103&lt;=0,$L103="متغیر"),"",(B103-D103)/D103)</f>
        <v/>
      </c>
      <c r="F103" s="20" t="n">
        <v>551000000</v>
      </c>
      <c r="G103" s="20">
        <f>IF(OR(ISBLANK(F103),F103=""),"",IF($L103="متغیر","",F103/10))</f>
        <v/>
      </c>
      <c r="H103" s="22" t="inlineStr">
        <is>
          <t>✓ موجود</t>
        </is>
      </c>
      <c r="I103" s="22" t="inlineStr">
        <is>
          <t>یخچال و فریزر</t>
        </is>
      </c>
      <c r="J103" s="22" t="inlineStr">
        <is>
          <t>یخچال و فریزر الکتروسان</t>
        </is>
      </c>
      <c r="K103" s="22" t="inlineStr">
        <is>
          <t>الکتروسان</t>
        </is>
      </c>
      <c r="L103" s="22" t="inlineStr">
        <is>
          <t>تنوع</t>
        </is>
      </c>
      <c r="M103" s="22" t="inlineStr">
        <is>
          <t>طول: 90 سانتیمتر</t>
        </is>
      </c>
      <c r="N103" s="22" t="inlineStr">
        <is>
          <t>3513</t>
        </is>
      </c>
      <c r="O103" s="22" t="n">
        <v>3805</v>
      </c>
      <c r="P103" s="32" t="inlineStr">
        <is>
          <t>https://hosseinykala.ir/?p=3513</t>
        </is>
      </c>
      <c r="Q103" s="22" t="n"/>
      <c r="R103" s="22" t="inlineStr">
        <is>
          <t>ثبت‌شده در سایت</t>
        </is>
      </c>
    </row>
    <row r="104" ht="21" customHeight="1" s="38"/>
  </sheetData>
  <autoFilter ref="A1:R1"/>
  <mergeCells count="10">
    <mergeCell ref="A39:R39"/>
    <mergeCell ref="A82:R82"/>
    <mergeCell ref="A95:R95"/>
    <mergeCell ref="A2:R2"/>
    <mergeCell ref="A11:R11"/>
    <mergeCell ref="A99:R99"/>
    <mergeCell ref="A28:R28"/>
    <mergeCell ref="A93:R93"/>
    <mergeCell ref="A89:R89"/>
    <mergeCell ref="A91:R91"/>
  </mergeCells>
  <conditionalFormatting sqref="A2:R103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03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03">
    <cfRule type="expression" priority="6" dxfId="3" stopIfTrue="1">
      <formula>AND(ISNUMBER($B2), ISNUMBER($D2), $D2&gt;0, ABS(($B2-$D2)/$D2)&gt;=0.5, $L2&lt;&gt;"متغیر")</formula>
    </cfRule>
  </conditionalFormatting>
  <conditionalFormatting sqref="F2:F103">
    <cfRule type="expression" priority="4" dxfId="2" stopIfTrue="1">
      <formula>AND($L2="متغیر", OR(ISNUMBER(B2), ISNUMBER(F2)))</formula>
    </cfRule>
  </conditionalFormatting>
  <conditionalFormatting sqref="H2:H103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03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03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rightToLeft="1" workbookViewId="0">
      <pane ySplit="1" topLeftCell="A89" activePane="bottomLeft" state="frozen"/>
      <selection pane="bottomLeft" activeCell="F93" sqref="F93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شستشو و نظافت  ◀  دونالکس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15" t="inlineStr">
        <is>
          <t>جاروبرقی ۲۴۰۰ وات دونالکس مدل DN-750 سوپرسایلنت</t>
        </is>
      </c>
      <c r="B3" s="16" t="n"/>
      <c r="C3" s="16">
        <f>IF(OR(B3="",B3=0),"",B3/10)</f>
        <v/>
      </c>
      <c r="D3" s="16" t="n"/>
      <c r="E3" s="42">
        <f>IF(ISNUMBER(D3),(B3-D3)/D3,"")</f>
        <v/>
      </c>
      <c r="F3" s="16" t="n"/>
      <c r="G3" s="16">
        <f>IF(OR(F3="",F3=0),"",F3/10)</f>
        <v/>
      </c>
      <c r="H3" s="18" t="inlineStr">
        <is>
          <t>✓ موجود</t>
        </is>
      </c>
      <c r="I3" s="18" t="inlineStr">
        <is>
          <t>شستشو و نظافت</t>
        </is>
      </c>
      <c r="J3" s="18" t="inlineStr">
        <is>
          <t>شستشو و نظافت دونالکس</t>
        </is>
      </c>
      <c r="K3" s="18" t="inlineStr">
        <is>
          <t>دونالکس</t>
        </is>
      </c>
      <c r="L3" s="18" t="inlineStr">
        <is>
          <t>متغیر</t>
        </is>
      </c>
      <c r="M3" s="18" t="inlineStr">
        <is>
          <t>شامل 2 تنوع</t>
        </is>
      </c>
      <c r="N3" s="18" t="inlineStr">
        <is>
          <t>3510</t>
        </is>
      </c>
      <c r="O3" s="18" t="n"/>
      <c r="P3" s="31" t="inlineStr">
        <is>
          <t>https://hosseinykala.ir/?p=3510</t>
        </is>
      </c>
      <c r="Q3" s="18" t="n"/>
      <c r="R3" s="18" t="inlineStr">
        <is>
          <t>ثبت‌شده در سایت</t>
        </is>
      </c>
    </row>
    <row r="4" ht="18.95" customHeight="1" s="38">
      <c r="A4" s="19" t="inlineStr">
        <is>
          <t>↳ رنگ: طلایی</t>
        </is>
      </c>
      <c r="B4" s="20" t="n"/>
      <c r="C4" s="20">
        <f>IF(OR(ISBLANK(B4),B4=""),"",IF($L4="متغیر","⚠️ والد متغیر نباید قیمت داشته باشد",B4/10))</f>
        <v/>
      </c>
      <c r="D4" s="20" t="n"/>
      <c r="E4" s="43">
        <f>IF(OR(ISBLANK(B4),B4="",ISBLANK(D4),D4="",D4&lt;=0,$L4="متغیر"),"",(B4-D4)/D4)</f>
        <v/>
      </c>
      <c r="F4" s="20" t="n"/>
      <c r="G4" s="20">
        <f>IF(OR(ISBLANK(F4),F4=""),"",IF($L4="متغیر","",F4/10))</f>
        <v/>
      </c>
      <c r="H4" s="22" t="inlineStr">
        <is>
          <t>✗ ناموجود</t>
        </is>
      </c>
      <c r="I4" s="22" t="inlineStr">
        <is>
          <t>شستشو و نظافت</t>
        </is>
      </c>
      <c r="J4" s="22" t="inlineStr">
        <is>
          <t>شستشو و نظافت دونالکس</t>
        </is>
      </c>
      <c r="K4" s="22" t="inlineStr">
        <is>
          <t>دونالکس</t>
        </is>
      </c>
      <c r="L4" s="22" t="inlineStr">
        <is>
          <t>تنوع</t>
        </is>
      </c>
      <c r="M4" s="22" t="inlineStr">
        <is>
          <t>رنگ: طلایی</t>
        </is>
      </c>
      <c r="N4" s="22" t="inlineStr">
        <is>
          <t>3510</t>
        </is>
      </c>
      <c r="O4" s="22" t="n">
        <v>3683</v>
      </c>
      <c r="P4" s="32" t="inlineStr">
        <is>
          <t>https://hosseinykala.ir/?p=3510</t>
        </is>
      </c>
      <c r="Q4" s="22" t="n"/>
      <c r="R4" s="22" t="inlineStr">
        <is>
          <t>ثبت‌شده در سایت</t>
        </is>
      </c>
    </row>
    <row r="5" ht="18.95" customHeight="1" s="38">
      <c r="A5" s="19" t="inlineStr">
        <is>
          <t>↳ رنگ: سرمه‌ای</t>
        </is>
      </c>
      <c r="B5" s="20" t="n">
        <v>490000000</v>
      </c>
      <c r="C5" s="20">
        <f>IF(OR(ISBLANK(B5),B5=""),"",IF($L5="متغیر","⚠️ والد متغیر نباید قیمت داشته باشد",B5/10))</f>
        <v/>
      </c>
      <c r="D5" s="20" t="n">
        <v>490000000</v>
      </c>
      <c r="E5" s="43">
        <f>IF(OR(ISBLANK(B5),B5="",ISBLANK(D5),D5="",D5&lt;=0,$L5="متغیر"),"",(B5-D5)/D5)</f>
        <v/>
      </c>
      <c r="F5" s="20" t="n">
        <v>465500000</v>
      </c>
      <c r="G5" s="20">
        <f>IF(OR(ISBLANK(F5),F5=""),"",IF($L5="متغیر","",F5/10))</f>
        <v/>
      </c>
      <c r="H5" s="22" t="inlineStr">
        <is>
          <t>✓ موجود</t>
        </is>
      </c>
      <c r="I5" s="22" t="inlineStr">
        <is>
          <t>شستشو و نظافت</t>
        </is>
      </c>
      <c r="J5" s="22" t="inlineStr">
        <is>
          <t>شستشو و نظافت دونالکس</t>
        </is>
      </c>
      <c r="K5" s="22" t="inlineStr">
        <is>
          <t>دونالکس</t>
        </is>
      </c>
      <c r="L5" s="22" t="inlineStr">
        <is>
          <t>تنوع</t>
        </is>
      </c>
      <c r="M5" s="22" t="inlineStr">
        <is>
          <t>رنگ: سرمه‌ای</t>
        </is>
      </c>
      <c r="N5" s="22" t="inlineStr">
        <is>
          <t>3510</t>
        </is>
      </c>
      <c r="O5" s="22" t="n">
        <v>3682</v>
      </c>
      <c r="P5" s="32" t="inlineStr">
        <is>
          <t>https://hosseinykala.ir/?p=3510</t>
        </is>
      </c>
      <c r="Q5" s="22" t="n"/>
      <c r="R5" s="22" t="inlineStr">
        <is>
          <t>ثبت‌شده در سایت</t>
        </is>
      </c>
    </row>
    <row r="6" ht="21" customHeight="1" s="38">
      <c r="A6" s="23" t="inlineStr">
        <is>
          <t>اتو بخار ۲۵۰۰ وات دونالکس مدل 815</t>
        </is>
      </c>
      <c r="B6" s="24" t="n">
        <v>135000000</v>
      </c>
      <c r="C6" s="24">
        <f>IF(OR(ISBLANK(B6),B6=""),"",IF($L6="متغیر","⚠️ والد متغیر نباید قیمت داشته باشد",B6/10))</f>
        <v/>
      </c>
      <c r="D6" s="24" t="n">
        <v>135000000</v>
      </c>
      <c r="E6" s="44">
        <f>IF(OR(ISBLANK(B6),B6="",ISBLANK(D6),D6="",D6&lt;=0,$L6="متغیر"),"",(B6-D6)/D6)</f>
        <v/>
      </c>
      <c r="F6" s="24" t="n">
        <v>128250000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شستشو و نظافت</t>
        </is>
      </c>
      <c r="J6" s="26" t="inlineStr">
        <is>
          <t>شستشو و نظافت دونالکس</t>
        </is>
      </c>
      <c r="K6" s="26" t="inlineStr">
        <is>
          <t>دونالکس</t>
        </is>
      </c>
      <c r="L6" s="26" t="inlineStr">
        <is>
          <t>ساده</t>
        </is>
      </c>
      <c r="M6" s="26" t="n"/>
      <c r="N6" s="26" t="inlineStr">
        <is>
          <t>3007</t>
        </is>
      </c>
      <c r="O6" s="26" t="n"/>
      <c r="P6" s="33" t="inlineStr">
        <is>
          <t>https://hosseinykala.ir/?p=3007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جاروبرقی دونالکس 770</t>
        </is>
      </c>
      <c r="B7" s="24" t="n"/>
      <c r="C7" s="24">
        <f>IF(OR(ISBLANK(B7),B7=""),"",IF($L7="متغیر","⚠️ والد متغیر نباید قیمت داشته باشد",B7/10))</f>
        <v/>
      </c>
      <c r="D7" s="24" t="n"/>
      <c r="E7" s="44">
        <f>IF(OR(ISBLANK(B7),B7="",ISBLANK(D7),D7="",D7&lt;=0,$L7="متغیر"),"",(B7-D7)/D7)</f>
        <v/>
      </c>
      <c r="F7" s="24" t="n"/>
      <c r="G7" s="24">
        <f>IF(OR(ISBLANK(F7),F7=""),"",IF($L7="متغیر","",F7/10))</f>
        <v/>
      </c>
      <c r="H7" s="26" t="inlineStr">
        <is>
          <t>✗ ناموجود</t>
        </is>
      </c>
      <c r="I7" s="26" t="inlineStr">
        <is>
          <t>شستشو و نظافت</t>
        </is>
      </c>
      <c r="J7" s="26" t="inlineStr">
        <is>
          <t>شستشو و نظافت دونالکس</t>
        </is>
      </c>
      <c r="K7" s="26" t="inlineStr">
        <is>
          <t>دونالکس</t>
        </is>
      </c>
      <c r="L7" s="26" t="inlineStr">
        <is>
          <t>ساده</t>
        </is>
      </c>
      <c r="M7" s="26" t="n"/>
      <c r="N7" s="26" t="n"/>
      <c r="O7" s="26" t="n"/>
      <c r="P7" s="33" t="n"/>
      <c r="Q7" s="26" t="n"/>
      <c r="R7" s="26" t="inlineStr">
        <is>
          <t>فعلا دست نگه دار</t>
        </is>
      </c>
    </row>
    <row r="8" ht="21.95" customHeight="1" s="38">
      <c r="A8" s="39" t="inlineStr">
        <is>
          <t xml:space="preserve">  📂 شستشو و نظافت  ◀  دوو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15" t="inlineStr">
        <is>
          <t>ماشین لباسشویی هوشمند 9 کیلوگرم اتوماتیک دوو مدل LM-9170</t>
        </is>
      </c>
      <c r="B9" s="16" t="n"/>
      <c r="C9" s="16">
        <f>IF(OR(B9="",B9=0),"",B9/10)</f>
        <v/>
      </c>
      <c r="D9" s="16" t="n"/>
      <c r="E9" s="42">
        <f>IF(ISNUMBER(D9),(B9-D9)/D9,"")</f>
        <v/>
      </c>
      <c r="F9" s="16" t="n"/>
      <c r="G9" s="16">
        <f>IF(OR(F9="",F9=0),"",F9/10)</f>
        <v/>
      </c>
      <c r="H9" s="18" t="inlineStr">
        <is>
          <t>✓ موجود</t>
        </is>
      </c>
      <c r="I9" s="18" t="inlineStr">
        <is>
          <t>شستشو و نظافت</t>
        </is>
      </c>
      <c r="J9" s="18" t="inlineStr">
        <is>
          <t>شستشو و نظافت دوو</t>
        </is>
      </c>
      <c r="K9" s="18" t="inlineStr">
        <is>
          <t>دوو</t>
        </is>
      </c>
      <c r="L9" s="18" t="inlineStr">
        <is>
          <t>متغیر</t>
        </is>
      </c>
      <c r="M9" s="18" t="inlineStr">
        <is>
          <t>شامل 2 تنوع</t>
        </is>
      </c>
      <c r="N9" s="18" t="inlineStr">
        <is>
          <t>2579</t>
        </is>
      </c>
      <c r="O9" s="18" t="n"/>
      <c r="P9" s="31" t="inlineStr">
        <is>
          <t>https://hosseinykala.ir/?p=2579</t>
        </is>
      </c>
      <c r="Q9" s="18" t="n"/>
      <c r="R9" s="18" t="inlineStr">
        <is>
          <t>ثبت‌شده در سایت</t>
        </is>
      </c>
    </row>
    <row r="10" ht="18.95" customHeight="1" s="38">
      <c r="A10" s="19" t="inlineStr">
        <is>
          <t>↳ رنگ: نقره ای</t>
        </is>
      </c>
      <c r="B10" s="20" t="n">
        <v>1495000000</v>
      </c>
      <c r="C10" s="20">
        <f>IF(OR(ISBLANK(B10),B10=""),"",IF($L10="متغیر","⚠️ والد متغیر نباید قیمت داشته باشد",B10/10))</f>
        <v/>
      </c>
      <c r="D10" s="20" t="n">
        <v>1495000000</v>
      </c>
      <c r="E10" s="43">
        <f>IF(OR(ISBLANK(B10),B10="",ISBLANK(D10),D10="",D10&lt;=0,$L10="متغیر"),"",(B10-D10)/D10)</f>
        <v/>
      </c>
      <c r="F10" s="20" t="n">
        <v>1420250000</v>
      </c>
      <c r="G10" s="20">
        <f>IF(OR(ISBLANK(F10),F10=""),"",IF($L10="متغیر","",F10/10))</f>
        <v/>
      </c>
      <c r="H10" s="22" t="inlineStr">
        <is>
          <t>✓ موجود</t>
        </is>
      </c>
      <c r="I10" s="22" t="inlineStr">
        <is>
          <t>شستشو و نظافت</t>
        </is>
      </c>
      <c r="J10" s="22" t="inlineStr">
        <is>
          <t>شستشو و نظافت دوو</t>
        </is>
      </c>
      <c r="K10" s="22" t="inlineStr">
        <is>
          <t>دوو</t>
        </is>
      </c>
      <c r="L10" s="22" t="inlineStr">
        <is>
          <t>تنوع</t>
        </is>
      </c>
      <c r="M10" s="22" t="inlineStr">
        <is>
          <t>رنگ: نقره ای</t>
        </is>
      </c>
      <c r="N10" s="22" t="inlineStr">
        <is>
          <t>2579</t>
        </is>
      </c>
      <c r="O10" s="22" t="n">
        <v>2584</v>
      </c>
      <c r="P10" s="32" t="inlineStr">
        <is>
          <t>https://hosseinykala.ir/?p=2579</t>
        </is>
      </c>
      <c r="Q10" s="22" t="n"/>
      <c r="R10" s="22" t="inlineStr">
        <is>
          <t>ثبت‌شده در سایت</t>
        </is>
      </c>
    </row>
    <row r="11" ht="18.95" customHeight="1" s="38">
      <c r="A11" s="19" t="inlineStr">
        <is>
          <t>↳ رنگ: سفید</t>
        </is>
      </c>
      <c r="B11" s="20" t="n">
        <v>1456000000</v>
      </c>
      <c r="C11" s="20">
        <f>IF(OR(ISBLANK(B11),B11=""),"",IF($L11="متغیر","⚠️ والد متغیر نباید قیمت داشته باشد",B11/10))</f>
        <v/>
      </c>
      <c r="D11" s="20" t="n">
        <v>1456000000</v>
      </c>
      <c r="E11" s="43">
        <f>IF(OR(ISBLANK(B11),B11="",ISBLANK(D11),D11="",D11&lt;=0,$L11="متغیر"),"",(B11-D11)/D11)</f>
        <v/>
      </c>
      <c r="F11" s="20" t="n">
        <v>1383200000</v>
      </c>
      <c r="G11" s="20">
        <f>IF(OR(ISBLANK(F11),F11=""),"",IF($L11="متغیر","",F11/10))</f>
        <v/>
      </c>
      <c r="H11" s="22" t="inlineStr">
        <is>
          <t>✓ موجود</t>
        </is>
      </c>
      <c r="I11" s="22" t="inlineStr">
        <is>
          <t>شستشو و نظافت</t>
        </is>
      </c>
      <c r="J11" s="22" t="inlineStr">
        <is>
          <t>شستشو و نظافت دوو</t>
        </is>
      </c>
      <c r="K11" s="22" t="inlineStr">
        <is>
          <t>دوو</t>
        </is>
      </c>
      <c r="L11" s="22" t="inlineStr">
        <is>
          <t>تنوع</t>
        </is>
      </c>
      <c r="M11" s="22" t="inlineStr">
        <is>
          <t>رنگ: سفید</t>
        </is>
      </c>
      <c r="N11" s="22" t="inlineStr">
        <is>
          <t>2579</t>
        </is>
      </c>
      <c r="O11" s="22" t="n">
        <v>2583</v>
      </c>
      <c r="P11" s="32" t="inlineStr">
        <is>
          <t>https://hosseinykala.ir/?p=2579</t>
        </is>
      </c>
      <c r="Q11" s="22" t="n"/>
      <c r="R11" s="22" t="inlineStr">
        <is>
          <t>ثبت‌شده در سایت</t>
        </is>
      </c>
    </row>
    <row r="12" ht="21" customHeight="1" s="38">
      <c r="A12" s="34" t="inlineStr">
        <is>
          <t>ماشین لباسشویی 9 کیلوگرم اتوماتیک دوو سری سینیور DWK-990</t>
        </is>
      </c>
      <c r="B12" s="24" t="n"/>
      <c r="C12" s="24">
        <f>IF(OR(B12="",B12=0),"",B12/10)</f>
        <v/>
      </c>
      <c r="D12" s="24" t="n"/>
      <c r="E12" s="44">
        <f>IF(ISNUMBER(D12),(B12-D12)/D12,"")</f>
        <v/>
      </c>
      <c r="F12" s="24" t="n"/>
      <c r="G12" s="24">
        <f>IF(OR(F12="",F12=0),"",F12/10)</f>
        <v/>
      </c>
      <c r="H12" s="26" t="inlineStr">
        <is>
          <t>✓ موجود</t>
        </is>
      </c>
      <c r="I12" s="26" t="inlineStr">
        <is>
          <t>شستشو و نظافت</t>
        </is>
      </c>
      <c r="J12" s="26" t="inlineStr">
        <is>
          <t>شستشو و نظافت دوو</t>
        </is>
      </c>
      <c r="K12" s="26" t="inlineStr">
        <is>
          <t>دوو</t>
        </is>
      </c>
      <c r="L12" s="26" t="inlineStr">
        <is>
          <t>متغیر</t>
        </is>
      </c>
      <c r="M12" s="26" t="inlineStr">
        <is>
          <t>شامل 2 تنوع</t>
        </is>
      </c>
      <c r="N12" s="26" t="n"/>
      <c r="O12" s="26" t="n"/>
      <c r="P12" s="33" t="n"/>
      <c r="Q12" s="26" t="n"/>
      <c r="R12" s="26" t="inlineStr">
        <is>
          <t>فعلا دست نگه دار</t>
        </is>
      </c>
    </row>
    <row r="13" ht="18.95" customHeight="1" s="38">
      <c r="A13" s="35" t="inlineStr">
        <is>
          <t>↳ رنگ: سفید (990c)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36" t="inlineStr">
        <is>
          <t>✗ ناموجود</t>
        </is>
      </c>
      <c r="I13" s="36" t="inlineStr">
        <is>
          <t>شستشو و نظافت</t>
        </is>
      </c>
      <c r="J13" s="36" t="inlineStr">
        <is>
          <t>شستشو و نظافت دوو</t>
        </is>
      </c>
      <c r="K13" s="36" t="inlineStr">
        <is>
          <t>دوو</t>
        </is>
      </c>
      <c r="L13" s="36" t="inlineStr">
        <is>
          <t>تنوع</t>
        </is>
      </c>
      <c r="M13" s="36" t="inlineStr">
        <is>
          <t>رنگ: سفید (990c)</t>
        </is>
      </c>
      <c r="N13" s="36" t="n"/>
      <c r="O13" s="36" t="n"/>
      <c r="P13" s="33" t="n"/>
      <c r="Q13" s="36" t="n"/>
      <c r="R13" s="36" t="inlineStr">
        <is>
          <t>فعلا دست نگه دار</t>
        </is>
      </c>
    </row>
    <row r="14" ht="18.95" customHeight="1" s="38">
      <c r="A14" s="35" t="inlineStr">
        <is>
          <t>↳ رنگ: سیلور (990S)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36" t="inlineStr">
        <is>
          <t>✗ ناموجود</t>
        </is>
      </c>
      <c r="I14" s="36" t="inlineStr">
        <is>
          <t>شستشو و نظافت</t>
        </is>
      </c>
      <c r="J14" s="36" t="inlineStr">
        <is>
          <t>شستشو و نظافت دوو</t>
        </is>
      </c>
      <c r="K14" s="36" t="inlineStr">
        <is>
          <t>دوو</t>
        </is>
      </c>
      <c r="L14" s="36" t="inlineStr">
        <is>
          <t>تنوع</t>
        </is>
      </c>
      <c r="M14" s="36" t="inlineStr">
        <is>
          <t>رنگ: سیلور (990S)</t>
        </is>
      </c>
      <c r="N14" s="36" t="n"/>
      <c r="O14" s="36" t="n"/>
      <c r="P14" s="33" t="n"/>
      <c r="Q14" s="36" t="n"/>
      <c r="R14" s="36" t="inlineStr">
        <is>
          <t>فعلا دست نگه دار</t>
        </is>
      </c>
    </row>
    <row r="15" ht="21" customHeight="1" s="38">
      <c r="A15" s="23" t="inlineStr">
        <is>
          <t>ماشین لباسشویی اتوماتیک دوو 9.5 کیلوگرم مدل 991s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شستشو و نظافت</t>
        </is>
      </c>
      <c r="J15" s="26" t="inlineStr">
        <is>
          <t>شستشو و نظافت دوو</t>
        </is>
      </c>
      <c r="K15" s="26" t="inlineStr">
        <is>
          <t>دوو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ماشین لباسشویی 8 کیلوگرم دوو سیلور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شستشو و نظافت</t>
        </is>
      </c>
      <c r="J16" s="26" t="inlineStr">
        <is>
          <t>شستشو و نظافت دوو</t>
        </is>
      </c>
      <c r="K16" s="26" t="inlineStr">
        <is>
          <t>دوو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شستشو و نظافت  ◀  هیمالیا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15" t="inlineStr">
        <is>
          <t>ماشین لباسشویی 10 کیلوگرم اینورتر هیمالیا مدل تسلا پرو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شستشو و نظافت</t>
        </is>
      </c>
      <c r="J18" s="18" t="inlineStr">
        <is>
          <t>شستشو و نظافت هیمالیا</t>
        </is>
      </c>
      <c r="K18" s="18" t="inlineStr">
        <is>
          <t>هیمالیا</t>
        </is>
      </c>
      <c r="L18" s="18" t="inlineStr">
        <is>
          <t>متغیر</t>
        </is>
      </c>
      <c r="M18" s="18" t="inlineStr">
        <is>
          <t>شامل 2 تنوع</t>
        </is>
      </c>
      <c r="N18" s="18" t="inlineStr">
        <is>
          <t>4032</t>
        </is>
      </c>
      <c r="O18" s="18" t="n"/>
      <c r="P18" s="31" t="inlineStr">
        <is>
          <t>https://hosseinykala.ir/product/himalia-tesla-pro-10kg-inverter-washing-machine/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استیل</t>
        </is>
      </c>
      <c r="B19" s="20" t="n">
        <v>1250000000</v>
      </c>
      <c r="C19" s="20">
        <f>IF(OR(ISBLANK(B19),B19=""),"",IF($L19="متغیر","⚠️ والد متغیر نباید قیمت داشته باشد",B19/10))</f>
        <v/>
      </c>
      <c r="D19" s="20" t="n">
        <v>1250000000</v>
      </c>
      <c r="E19" s="43">
        <f>IF(OR(ISBLANK(B19),B19="",ISBLANK(D19),D19="",D19&lt;=0,$L19="متغیر"),"",(B19-D19)/D19)</f>
        <v/>
      </c>
      <c r="F19" s="20" t="n">
        <v>1187500000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شستشو و نظافت</t>
        </is>
      </c>
      <c r="J19" s="22" t="inlineStr">
        <is>
          <t>شستشو و نظافت هیمالیا</t>
        </is>
      </c>
      <c r="K19" s="22" t="inlineStr">
        <is>
          <t>هیمالیا</t>
        </is>
      </c>
      <c r="L19" s="22" t="inlineStr">
        <is>
          <t>تنوع</t>
        </is>
      </c>
      <c r="M19" s="22" t="inlineStr">
        <is>
          <t>رنگ: استیل</t>
        </is>
      </c>
      <c r="N19" s="22" t="inlineStr">
        <is>
          <t>4032</t>
        </is>
      </c>
      <c r="O19" s="22" t="n">
        <v>4033</v>
      </c>
      <c r="P19" s="32" t="inlineStr">
        <is>
          <t>https://hosseinykala.ir/product/himalia-tesla-pro-10kg-inverter-washing-machine/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سفید</t>
        </is>
      </c>
      <c r="B20" s="20" t="n">
        <v>1200000000</v>
      </c>
      <c r="C20" s="20">
        <f>IF(OR(ISBLANK(B20),B20=""),"",IF($L20="متغیر","⚠️ والد متغیر نباید قیمت داشته باشد",B20/10))</f>
        <v/>
      </c>
      <c r="D20" s="20" t="n">
        <v>1200000000</v>
      </c>
      <c r="E20" s="43">
        <f>IF(OR(ISBLANK(B20),B20="",ISBLANK(D20),D20="",D20&lt;=0,$L20="متغیر"),"",(B20-D20)/D20)</f>
        <v/>
      </c>
      <c r="F20" s="20" t="n">
        <v>1140000000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شستشو و نظافت</t>
        </is>
      </c>
      <c r="J20" s="22" t="inlineStr">
        <is>
          <t>شستشو و نظافت هیمالیا</t>
        </is>
      </c>
      <c r="K20" s="22" t="inlineStr">
        <is>
          <t>هیمالیا</t>
        </is>
      </c>
      <c r="L20" s="22" t="inlineStr">
        <is>
          <t>تنوع</t>
        </is>
      </c>
      <c r="M20" s="22" t="inlineStr">
        <is>
          <t>رنگ: سفید</t>
        </is>
      </c>
      <c r="N20" s="22" t="inlineStr">
        <is>
          <t>4032</t>
        </is>
      </c>
      <c r="O20" s="22" t="n">
        <v>4034</v>
      </c>
      <c r="P20" s="32" t="inlineStr">
        <is>
          <t>https://hosseinykala.ir/product/himalia-tesla-pro-10kg-inverter-washing-machine/</t>
        </is>
      </c>
      <c r="Q20" s="22" t="n"/>
      <c r="R20" s="22" t="inlineStr">
        <is>
          <t>ثبت‌شده در سایت</t>
        </is>
      </c>
    </row>
    <row r="21" ht="21.95" customHeight="1" s="38">
      <c r="A21" s="39" t="inlineStr">
        <is>
          <t xml:space="preserve">  📂 شستشو و نظافت  ◀  پاکشوما</t>
        </is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</row>
    <row r="22" ht="21" customHeight="1" s="38">
      <c r="A22" s="23" t="inlineStr">
        <is>
          <t>ماشین لباسشویی دوقلو ۲۱ کیلوگرم نیمه‌اتوماتیک پاکشوما</t>
        </is>
      </c>
      <c r="B22" s="24" t="n">
        <v>370000000</v>
      </c>
      <c r="C22" s="24">
        <f>IF(OR(ISBLANK(B22),B22=""),"",IF($L22="متغیر","⚠️ والد متغیر نباید قیمت داشته باشد",B22/10))</f>
        <v/>
      </c>
      <c r="D22" s="24" t="n">
        <v>370000000</v>
      </c>
      <c r="E22" s="44">
        <f>IF(OR(ISBLANK(B22),B22="",ISBLANK(D22),D22="",D22&lt;=0,$L22="متغیر"),"",(B22-D22)/D22)</f>
        <v/>
      </c>
      <c r="F22" s="24" t="n">
        <v>351500000</v>
      </c>
      <c r="G22" s="24">
        <f>IF(OR(ISBLANK(F22),F22=""),"",IF($L22="متغیر","",F22/10))</f>
        <v/>
      </c>
      <c r="H22" s="26" t="inlineStr">
        <is>
          <t>✓ موجود</t>
        </is>
      </c>
      <c r="I22" s="26" t="inlineStr">
        <is>
          <t>شستشو و نظافت</t>
        </is>
      </c>
      <c r="J22" s="26" t="inlineStr">
        <is>
          <t>شستشو و نظافت پاکشوما</t>
        </is>
      </c>
      <c r="K22" s="26" t="inlineStr">
        <is>
          <t>پاکشوما</t>
        </is>
      </c>
      <c r="L22" s="26" t="inlineStr">
        <is>
          <t>ساده</t>
        </is>
      </c>
      <c r="M22" s="26" t="n"/>
      <c r="N22" s="26" t="inlineStr">
        <is>
          <t>3707</t>
        </is>
      </c>
      <c r="O22" s="26" t="n"/>
      <c r="P22" s="33" t="inlineStr">
        <is>
          <t>https://hosseinykala.ir/?p=3707</t>
        </is>
      </c>
      <c r="Q22" s="26" t="n"/>
      <c r="R22" s="26" t="inlineStr">
        <is>
          <t>ثبت‌شده در سایت</t>
        </is>
      </c>
    </row>
    <row r="23" ht="21" customHeight="1" s="38">
      <c r="A23" s="23" t="inlineStr">
        <is>
          <t>ماشین لباسشویی دوقلو ۱۵ کیلوگرم نیمه‌اتوماتیک پاکشوما</t>
        </is>
      </c>
      <c r="B23" s="24" t="n">
        <v>320000000</v>
      </c>
      <c r="C23" s="24">
        <f>IF(OR(ISBLANK(B23),B23=""),"",IF($L23="متغیر","⚠️ والد متغیر نباید قیمت داشته باشد",B23/10))</f>
        <v/>
      </c>
      <c r="D23" s="24" t="n">
        <v>320000000</v>
      </c>
      <c r="E23" s="44">
        <f>IF(OR(ISBLANK(B23),B23="",ISBLANK(D23),D23="",D23&lt;=0,$L23="متغیر"),"",(B23-D23)/D23)</f>
        <v/>
      </c>
      <c r="F23" s="24" t="n">
        <v>304000000</v>
      </c>
      <c r="G23" s="24">
        <f>IF(OR(ISBLANK(F23),F23=""),"",IF($L23="متغیر","",F23/10))</f>
        <v/>
      </c>
      <c r="H23" s="26" t="inlineStr">
        <is>
          <t>✓ موجود</t>
        </is>
      </c>
      <c r="I23" s="26" t="inlineStr">
        <is>
          <t>شستشو و نظافت</t>
        </is>
      </c>
      <c r="J23" s="26" t="inlineStr">
        <is>
          <t>شستشو و نظافت پاکشوما</t>
        </is>
      </c>
      <c r="K23" s="26" t="inlineStr">
        <is>
          <t>پاکشوما</t>
        </is>
      </c>
      <c r="L23" s="26" t="inlineStr">
        <is>
          <t>ساده</t>
        </is>
      </c>
      <c r="M23" s="26" t="n"/>
      <c r="N23" s="26" t="inlineStr">
        <is>
          <t>3563</t>
        </is>
      </c>
      <c r="O23" s="26" t="n"/>
      <c r="P23" s="33" t="inlineStr">
        <is>
          <t>https://hosseinykala.ir/?p=3563</t>
        </is>
      </c>
      <c r="Q23" s="26" t="n"/>
      <c r="R23" s="26" t="inlineStr">
        <is>
          <t>ثبت‌شده در سایت</t>
        </is>
      </c>
    </row>
    <row r="24" ht="21" customHeight="1" s="38">
      <c r="A24" s="23" t="inlineStr">
        <is>
          <t>ماشین لباسشویی ۱۲ کیلوگرم درب از بالا اتوماتیک پاکشوما</t>
        </is>
      </c>
      <c r="B24" s="24" t="n">
        <v>624000000</v>
      </c>
      <c r="C24" s="24">
        <f>IF(OR(ISBLANK(B24),B24=""),"",IF($L24="متغیر","⚠️ والد متغیر نباید قیمت داشته باشد",B24/10))</f>
        <v/>
      </c>
      <c r="D24" s="24" t="n">
        <v>624000000</v>
      </c>
      <c r="E24" s="44">
        <f>IF(OR(ISBLANK(B24),B24="",ISBLANK(D24),D24="",D24&lt;=0,$L24="متغیر"),"",(B24-D24)/D24)</f>
        <v/>
      </c>
      <c r="F24" s="24" t="n">
        <v>592800000</v>
      </c>
      <c r="G24" s="24">
        <f>IF(OR(ISBLANK(F24),F24=""),"",IF($L24="متغیر","",F24/10))</f>
        <v/>
      </c>
      <c r="H24" s="26" t="inlineStr">
        <is>
          <t>✓ موجود</t>
        </is>
      </c>
      <c r="I24" s="26" t="inlineStr">
        <is>
          <t>شستشو و نظافت</t>
        </is>
      </c>
      <c r="J24" s="26" t="inlineStr">
        <is>
          <t>شستشو و نظافت پاکشوما</t>
        </is>
      </c>
      <c r="K24" s="26" t="inlineStr">
        <is>
          <t>پاکشوما</t>
        </is>
      </c>
      <c r="L24" s="26" t="inlineStr">
        <is>
          <t>ساده</t>
        </is>
      </c>
      <c r="M24" s="26" t="n"/>
      <c r="N24" s="26" t="inlineStr">
        <is>
          <t>3557</t>
        </is>
      </c>
      <c r="O24" s="26" t="n"/>
      <c r="P24" s="33" t="inlineStr">
        <is>
          <t>https://hosseinykala.ir/?p=3557</t>
        </is>
      </c>
      <c r="Q24" s="26" t="n"/>
      <c r="R24" s="26" t="inlineStr">
        <is>
          <t>ثبت‌شده در سایت</t>
        </is>
      </c>
    </row>
    <row r="25" ht="21" customHeight="1" s="38">
      <c r="A25" s="15" t="inlineStr">
        <is>
          <t>ماشین لباسشویی دوقلو نیمه اتوماتیک پاکشوما</t>
        </is>
      </c>
      <c r="B25" s="16" t="n"/>
      <c r="C25" s="16">
        <f>IF(OR(B25="",B25=0),"",B25/10)</f>
        <v/>
      </c>
      <c r="D25" s="16" t="n"/>
      <c r="E25" s="42">
        <f>IF(ISNUMBER(D25),(B25-D25)/D25,"")</f>
        <v/>
      </c>
      <c r="F25" s="16" t="n"/>
      <c r="G25" s="16">
        <f>IF(OR(F25="",F25=0),"",F25/10)</f>
        <v/>
      </c>
      <c r="H25" s="18" t="inlineStr">
        <is>
          <t>✓ موجود</t>
        </is>
      </c>
      <c r="I25" s="18" t="inlineStr">
        <is>
          <t>شستشو و نظافت</t>
        </is>
      </c>
      <c r="J25" s="18" t="inlineStr">
        <is>
          <t>شستشو و نظافت پاکشوما</t>
        </is>
      </c>
      <c r="K25" s="18" t="inlineStr">
        <is>
          <t>پاکشوما</t>
        </is>
      </c>
      <c r="L25" s="18" t="inlineStr">
        <is>
          <t>متغیر</t>
        </is>
      </c>
      <c r="M25" s="18" t="inlineStr">
        <is>
          <t>شامل 3 تنوع</t>
        </is>
      </c>
      <c r="N25" s="18" t="inlineStr">
        <is>
          <t>4037</t>
        </is>
      </c>
      <c r="O25" s="18" t="n"/>
      <c r="P25" s="31" t="inlineStr">
        <is>
          <t>https://hosseinykala.ir/product/pakshoma-twin-tub-semi-automatic-washing-machine/</t>
        </is>
      </c>
      <c r="Q25" s="18" t="n"/>
      <c r="R25" s="18" t="inlineStr">
        <is>
          <t>ثبت‌شده در سایت</t>
        </is>
      </c>
    </row>
    <row r="26" ht="18.95" customHeight="1" s="38">
      <c r="A26" s="19" t="inlineStr">
        <is>
          <t>↳ ظرفیت: 9 کیلوگرم</t>
        </is>
      </c>
      <c r="B26" s="20" t="n"/>
      <c r="C26" s="20">
        <f>IF(OR(ISBLANK(B26),B26=""),"",IF($L26="متغیر","⚠️ والد متغیر نباید قیمت داشته باشد",B26/10))</f>
        <v/>
      </c>
      <c r="D26" s="20" t="n"/>
      <c r="E26" s="43">
        <f>IF(OR(ISBLANK(B26),B26="",ISBLANK(D26),D26="",D26&lt;=0,$L26="متغیر"),"",(B26-D26)/D26)</f>
        <v/>
      </c>
      <c r="F26" s="20" t="n"/>
      <c r="G26" s="20">
        <f>IF(OR(ISBLANK(F26),F26=""),"",IF($L26="متغیر","",F26/10))</f>
        <v/>
      </c>
      <c r="H26" s="22" t="inlineStr">
        <is>
          <t>✗ ناموجود</t>
        </is>
      </c>
      <c r="I26" s="22" t="inlineStr">
        <is>
          <t>شستشو و نظافت</t>
        </is>
      </c>
      <c r="J26" s="22" t="inlineStr">
        <is>
          <t>شستشو و نظافت پاکشوما</t>
        </is>
      </c>
      <c r="K26" s="22" t="inlineStr">
        <is>
          <t>پاکشوما</t>
        </is>
      </c>
      <c r="L26" s="22" t="inlineStr">
        <is>
          <t>تنوع</t>
        </is>
      </c>
      <c r="M26" s="22" t="inlineStr">
        <is>
          <t>ظرفیت: 9 کیلوگرم</t>
        </is>
      </c>
      <c r="N26" s="22" t="inlineStr">
        <is>
          <t>4037</t>
        </is>
      </c>
      <c r="O26" s="22" t="n">
        <v>4038</v>
      </c>
      <c r="P26" s="32" t="inlineStr">
        <is>
          <t>https://hosseinykala.ir/product/pakshoma-twin-tub-semi-automatic-washing-machine/</t>
        </is>
      </c>
      <c r="Q26" s="22" t="n"/>
      <c r="R26" s="22" t="inlineStr">
        <is>
          <t>ثبت‌شده در سایت</t>
        </is>
      </c>
    </row>
    <row r="27" ht="18.95" customHeight="1" s="38">
      <c r="A27" s="19" t="inlineStr">
        <is>
          <t>↳ ظرفیت: 15 کیلوگرم</t>
        </is>
      </c>
      <c r="B27" s="20" t="n">
        <v>320000000</v>
      </c>
      <c r="C27" s="20">
        <f>IF(OR(ISBLANK(B27),B27=""),"",IF($L27="متغیر","⚠️ والد متغیر نباید قیمت داشته باشد",B27/10))</f>
        <v/>
      </c>
      <c r="D27" s="20" t="n">
        <v>320000000</v>
      </c>
      <c r="E27" s="43">
        <f>IF(OR(ISBLANK(B27),B27="",ISBLANK(D27),D27="",D27&lt;=0,$L27="متغیر"),"",(B27-D27)/D27)</f>
        <v/>
      </c>
      <c r="F27" s="20" t="n">
        <v>304000000</v>
      </c>
      <c r="G27" s="20">
        <f>IF(OR(ISBLANK(F27),F27=""),"",IF($L27="متغیر","",F27/10))</f>
        <v/>
      </c>
      <c r="H27" s="22" t="inlineStr">
        <is>
          <t>✓ موجود</t>
        </is>
      </c>
      <c r="I27" s="22" t="inlineStr">
        <is>
          <t>شستشو و نظافت</t>
        </is>
      </c>
      <c r="J27" s="22" t="inlineStr">
        <is>
          <t>شستشو و نظافت پاکشوما</t>
        </is>
      </c>
      <c r="K27" s="22" t="inlineStr">
        <is>
          <t>پاکشوما</t>
        </is>
      </c>
      <c r="L27" s="22" t="inlineStr">
        <is>
          <t>تنوع</t>
        </is>
      </c>
      <c r="M27" s="22" t="inlineStr">
        <is>
          <t>ظرفیت: 15 کیلوگرم</t>
        </is>
      </c>
      <c r="N27" s="22" t="inlineStr">
        <is>
          <t>4037</t>
        </is>
      </c>
      <c r="O27" s="22" t="n">
        <v>4039</v>
      </c>
      <c r="P27" s="32" t="inlineStr">
        <is>
          <t>https://hosseinykala.ir/product/pakshoma-twin-tub-semi-automatic-washing-machine/</t>
        </is>
      </c>
      <c r="Q27" s="22" t="n"/>
      <c r="R27" s="22" t="inlineStr">
        <is>
          <t>ثبت‌شده در سایت</t>
        </is>
      </c>
    </row>
    <row r="28" ht="18.95" customHeight="1" s="38">
      <c r="A28" s="19" t="inlineStr">
        <is>
          <t>↳ ظرفیت: 21 کیلوگرم</t>
        </is>
      </c>
      <c r="B28" s="20" t="n">
        <v>370000000</v>
      </c>
      <c r="C28" s="20">
        <f>IF(OR(ISBLANK(B28),B28=""),"",IF($L28="متغیر","⚠️ والد متغیر نباید قیمت داشته باشد",B28/10))</f>
        <v/>
      </c>
      <c r="D28" s="20" t="n">
        <v>370000000</v>
      </c>
      <c r="E28" s="43">
        <f>IF(OR(ISBLANK(B28),B28="",ISBLANK(D28),D28="",D28&lt;=0,$L28="متغیر"),"",(B28-D28)/D28)</f>
        <v/>
      </c>
      <c r="F28" s="20" t="n">
        <v>351500000</v>
      </c>
      <c r="G28" s="20">
        <f>IF(OR(ISBLANK(F28),F28=""),"",IF($L28="متغیر","",F28/10))</f>
        <v/>
      </c>
      <c r="H28" s="22" t="inlineStr">
        <is>
          <t>✓ موجود</t>
        </is>
      </c>
      <c r="I28" s="22" t="inlineStr">
        <is>
          <t>شستشو و نظافت</t>
        </is>
      </c>
      <c r="J28" s="22" t="inlineStr">
        <is>
          <t>شستشو و نظافت پاکشوما</t>
        </is>
      </c>
      <c r="K28" s="22" t="inlineStr">
        <is>
          <t>پاکشوما</t>
        </is>
      </c>
      <c r="L28" s="22" t="inlineStr">
        <is>
          <t>تنوع</t>
        </is>
      </c>
      <c r="M28" s="22" t="inlineStr">
        <is>
          <t>ظرفیت: 21 کیلوگرم</t>
        </is>
      </c>
      <c r="N28" s="22" t="inlineStr">
        <is>
          <t>4037</t>
        </is>
      </c>
      <c r="O28" s="22" t="n">
        <v>4040</v>
      </c>
      <c r="P28" s="32" t="inlineStr">
        <is>
          <t>https://hosseinykala.ir/product/pakshoma-twin-tub-semi-automatic-washing-machine/</t>
        </is>
      </c>
      <c r="Q28" s="22" t="n"/>
      <c r="R28" s="22" t="inlineStr">
        <is>
          <t>ثبت‌شده در سایت</t>
        </is>
      </c>
    </row>
    <row r="29" ht="21.95" customHeight="1" s="38">
      <c r="A29" s="39" t="inlineStr">
        <is>
          <t xml:space="preserve">  📂 شستشو و نظافت  ◀  کلور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1" t="n"/>
    </row>
    <row r="30" ht="21" customHeight="1" s="38">
      <c r="A30" s="15" t="inlineStr">
        <is>
          <t>ماشین لباسشویی ۱۰ کیلوگرم اینورتر کلور مدل دایرکت درایو کرم</t>
        </is>
      </c>
      <c r="B30" s="16" t="n"/>
      <c r="C30" s="16">
        <f>IF(OR(B30="",B30=0),"",B30/10)</f>
        <v/>
      </c>
      <c r="D30" s="16" t="n"/>
      <c r="E30" s="42">
        <f>IF(ISNUMBER(D30),(B30-D30)/D30,"")</f>
        <v/>
      </c>
      <c r="F30" s="16" t="n"/>
      <c r="G30" s="16">
        <f>IF(OR(F30="",F30=0),"",F30/10)</f>
        <v/>
      </c>
      <c r="H30" s="18" t="inlineStr">
        <is>
          <t>✓ موجود</t>
        </is>
      </c>
      <c r="I30" s="18" t="inlineStr">
        <is>
          <t>شستشو و نظافت</t>
        </is>
      </c>
      <c r="J30" s="18" t="inlineStr">
        <is>
          <t>شستشو و نظافت کلور</t>
        </is>
      </c>
      <c r="K30" s="18" t="inlineStr">
        <is>
          <t>کلور</t>
        </is>
      </c>
      <c r="L30" s="18" t="inlineStr">
        <is>
          <t>متغیر</t>
        </is>
      </c>
      <c r="M30" s="18" t="inlineStr">
        <is>
          <t>شامل 2 تنوع</t>
        </is>
      </c>
      <c r="N30" s="18" t="inlineStr">
        <is>
          <t>3573</t>
        </is>
      </c>
      <c r="O30" s="18" t="n"/>
      <c r="P30" s="31" t="inlineStr">
        <is>
          <t>https://hosseinykala.ir/?p=3573</t>
        </is>
      </c>
      <c r="Q30" s="18" t="n"/>
      <c r="R30" s="18" t="inlineStr">
        <is>
          <t>ثبت‌شده در سایت</t>
        </is>
      </c>
    </row>
    <row r="31" ht="18.95" customHeight="1" s="38">
      <c r="A31" s="19" t="inlineStr">
        <is>
          <t>↳ رنگ: کرم</t>
        </is>
      </c>
      <c r="B31" s="20" t="n">
        <v>1600000000</v>
      </c>
      <c r="C31" s="20">
        <f>IF(OR(ISBLANK(B31),B31=""),"",IF($L31="متغیر","⚠️ والد متغیر نباید قیمت داشته باشد",B31/10))</f>
        <v/>
      </c>
      <c r="D31" s="20" t="n">
        <v>1600000000</v>
      </c>
      <c r="E31" s="43">
        <f>IF(OR(ISBLANK(B31),B31="",ISBLANK(D31),D31="",D31&lt;=0,$L31="متغیر"),"",(B31-D31)/D31)</f>
        <v/>
      </c>
      <c r="F31" s="20" t="n">
        <v>1520000000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شستشو و نظافت</t>
        </is>
      </c>
      <c r="J31" s="22" t="inlineStr">
        <is>
          <t>شستشو و نظافت کلور</t>
        </is>
      </c>
      <c r="K31" s="22" t="inlineStr">
        <is>
          <t>کلور</t>
        </is>
      </c>
      <c r="L31" s="22" t="inlineStr">
        <is>
          <t>تنوع</t>
        </is>
      </c>
      <c r="M31" s="22" t="inlineStr">
        <is>
          <t>رنگ: کرم</t>
        </is>
      </c>
      <c r="N31" s="22" t="inlineStr">
        <is>
          <t>3573</t>
        </is>
      </c>
      <c r="O31" s="22" t="n">
        <v>3789</v>
      </c>
      <c r="P31" s="32" t="inlineStr">
        <is>
          <t>https://hosseinykala.ir/?p=3573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رنگ: سبز پاستیلی</t>
        </is>
      </c>
      <c r="B32" s="20" t="n">
        <v>1600000000</v>
      </c>
      <c r="C32" s="20">
        <f>IF(OR(ISBLANK(B32),B32=""),"",IF($L32="متغیر","⚠️ والد متغیر نباید قیمت داشته باشد",B32/10))</f>
        <v/>
      </c>
      <c r="D32" s="20" t="n">
        <v>1600000000</v>
      </c>
      <c r="E32" s="43">
        <f>IF(OR(ISBLANK(B32),B32="",ISBLANK(D32),D32="",D32&lt;=0,$L32="متغیر"),"",(B32-D32)/D32)</f>
        <v/>
      </c>
      <c r="F32" s="20" t="n">
        <v>1520000000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شستشو و نظافت</t>
        </is>
      </c>
      <c r="J32" s="22" t="inlineStr">
        <is>
          <t>شستشو و نظافت کلور</t>
        </is>
      </c>
      <c r="K32" s="22" t="inlineStr">
        <is>
          <t>کلور</t>
        </is>
      </c>
      <c r="L32" s="22" t="inlineStr">
        <is>
          <t>تنوع</t>
        </is>
      </c>
      <c r="M32" s="22" t="inlineStr">
        <is>
          <t>رنگ: سبز پاستیلی</t>
        </is>
      </c>
      <c r="N32" s="22" t="inlineStr">
        <is>
          <t>3573</t>
        </is>
      </c>
      <c r="O32" s="22" t="n">
        <v>3788</v>
      </c>
      <c r="P32" s="32" t="inlineStr">
        <is>
          <t>https://hosseinykala.ir/?p=3573</t>
        </is>
      </c>
      <c r="Q32" s="22" t="n"/>
      <c r="R32" s="22" t="inlineStr">
        <is>
          <t>ثبت‌شده در سایت</t>
        </is>
      </c>
    </row>
    <row r="33" ht="21" customHeight="1" s="38">
      <c r="A33" s="15" t="inlineStr">
        <is>
          <t>ماشین ظرفشویی 15 نفره کلور CDW-H15V</t>
        </is>
      </c>
      <c r="B33" s="16" t="n"/>
      <c r="C33" s="16">
        <f>IF(OR(B33="",B33=0),"",B33/10)</f>
        <v/>
      </c>
      <c r="D33" s="16" t="n"/>
      <c r="E33" s="42">
        <f>IF(ISNUMBER(D33),(B33-D33)/D33,"")</f>
        <v/>
      </c>
      <c r="F33" s="16" t="n"/>
      <c r="G33" s="16">
        <f>IF(OR(F33="",F33=0),"",F33/10)</f>
        <v/>
      </c>
      <c r="H33" s="18" t="inlineStr">
        <is>
          <t>✓ موجود</t>
        </is>
      </c>
      <c r="I33" s="18" t="inlineStr">
        <is>
          <t>شستشو و نظافت</t>
        </is>
      </c>
      <c r="J33" s="18" t="inlineStr">
        <is>
          <t>شستشو و نظافت کلور</t>
        </is>
      </c>
      <c r="K33" s="18" t="inlineStr">
        <is>
          <t>کلور</t>
        </is>
      </c>
      <c r="L33" s="18" t="inlineStr">
        <is>
          <t>متغیر</t>
        </is>
      </c>
      <c r="M33" s="18" t="inlineStr">
        <is>
          <t>شامل 2 تنوع</t>
        </is>
      </c>
      <c r="N33" s="18" t="inlineStr">
        <is>
          <t>2871</t>
        </is>
      </c>
      <c r="O33" s="18" t="n"/>
      <c r="P33" s="31" t="inlineStr">
        <is>
          <t>https://hosseinykala.ir/?p=2871</t>
        </is>
      </c>
      <c r="Q33" s="18" t="n"/>
      <c r="R33" s="18" t="inlineStr">
        <is>
          <t>ثبت‌شده در سایت</t>
        </is>
      </c>
    </row>
    <row r="34" ht="18.95" customHeight="1" s="38">
      <c r="A34" s="19" t="inlineStr">
        <is>
          <t>↳ رنگ: استیل تیره</t>
        </is>
      </c>
      <c r="B34" s="20" t="n">
        <v>1250000000</v>
      </c>
      <c r="C34" s="20">
        <f>IF(OR(ISBLANK(B34),B34=""),"",IF($L34="متغیر","⚠️ والد متغیر نباید قیمت داشته باشد",B34/10))</f>
        <v/>
      </c>
      <c r="D34" s="20" t="n">
        <v>1250000000</v>
      </c>
      <c r="E34" s="43">
        <f>IF(OR(ISBLANK(B34),B34="",ISBLANK(D34),D34="",D34&lt;=0,$L34="متغیر"),"",(B34-D34)/D34)</f>
        <v/>
      </c>
      <c r="F34" s="20" t="n">
        <v>1187500000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شستشو و نظافت</t>
        </is>
      </c>
      <c r="J34" s="22" t="inlineStr">
        <is>
          <t>شستشو و نظافت کلور</t>
        </is>
      </c>
      <c r="K34" s="22" t="inlineStr">
        <is>
          <t>کلور</t>
        </is>
      </c>
      <c r="L34" s="22" t="inlineStr">
        <is>
          <t>تنوع</t>
        </is>
      </c>
      <c r="M34" s="22" t="inlineStr">
        <is>
          <t>رنگ: استیل تیره</t>
        </is>
      </c>
      <c r="N34" s="22" t="inlineStr">
        <is>
          <t>2871</t>
        </is>
      </c>
      <c r="O34" s="22" t="n">
        <v>2881</v>
      </c>
      <c r="P34" s="32" t="inlineStr">
        <is>
          <t>https://hosseinykala.ir/?p=2871</t>
        </is>
      </c>
      <c r="Q34" s="22" t="n"/>
      <c r="R34" s="22" t="inlineStr">
        <is>
          <t>ثبت‌شده در سایت</t>
        </is>
      </c>
    </row>
    <row r="35" ht="18.95" customHeight="1" s="38">
      <c r="A35" s="19" t="inlineStr">
        <is>
          <t>↳ رنگ: سفید</t>
        </is>
      </c>
      <c r="B35" s="20" t="n">
        <v>1157000000</v>
      </c>
      <c r="C35" s="20">
        <f>IF(OR(ISBLANK(B35),B35=""),"",IF($L35="متغیر","⚠️ والد متغیر نباید قیمت داشته باشد",B35/10))</f>
        <v/>
      </c>
      <c r="D35" s="20" t="n">
        <v>1157000000</v>
      </c>
      <c r="E35" s="43">
        <f>IF(OR(ISBLANK(B35),B35="",ISBLANK(D35),D35="",D35&lt;=0,$L35="متغیر"),"",(B35-D35)/D35)</f>
        <v/>
      </c>
      <c r="F35" s="20" t="n">
        <v>1099150000</v>
      </c>
      <c r="G35" s="20">
        <f>IF(OR(ISBLANK(F35),F35=""),"",IF($L35="متغیر","",F35/10))</f>
        <v/>
      </c>
      <c r="H35" s="22" t="inlineStr">
        <is>
          <t>✓ موجود</t>
        </is>
      </c>
      <c r="I35" s="22" t="inlineStr">
        <is>
          <t>شستشو و نظافت</t>
        </is>
      </c>
      <c r="J35" s="22" t="inlineStr">
        <is>
          <t>شستشو و نظافت کلور</t>
        </is>
      </c>
      <c r="K35" s="22" t="inlineStr">
        <is>
          <t>کلور</t>
        </is>
      </c>
      <c r="L35" s="22" t="inlineStr">
        <is>
          <t>تنوع</t>
        </is>
      </c>
      <c r="M35" s="22" t="inlineStr">
        <is>
          <t>رنگ: سفید</t>
        </is>
      </c>
      <c r="N35" s="22" t="inlineStr">
        <is>
          <t>2871</t>
        </is>
      </c>
      <c r="O35" s="22" t="n">
        <v>2880</v>
      </c>
      <c r="P35" s="32" t="inlineStr">
        <is>
          <t>https://hosseinykala.ir/?p=2871</t>
        </is>
      </c>
      <c r="Q35" s="22" t="n"/>
      <c r="R35" s="22" t="inlineStr">
        <is>
          <t>ثبت‌شده در سایت</t>
        </is>
      </c>
    </row>
    <row r="36" ht="21" customHeight="1" s="38">
      <c r="A36" s="15" t="inlineStr">
        <is>
          <t>ماشین لباسشویی 8 کیلوگرم اتوماتیک کلور مدل تاچ سری BMW T3</t>
        </is>
      </c>
      <c r="B36" s="16" t="n"/>
      <c r="C36" s="16">
        <f>IF(OR(B36="",B36=0),"",B36/10)</f>
        <v/>
      </c>
      <c r="D36" s="16" t="n"/>
      <c r="E36" s="42">
        <f>IF(ISNUMBER(D36),(B36-D36)/D36,"")</f>
        <v/>
      </c>
      <c r="F36" s="16" t="n"/>
      <c r="G36" s="16">
        <f>IF(OR(F36="",F36=0),"",F36/10)</f>
        <v/>
      </c>
      <c r="H36" s="18" t="inlineStr">
        <is>
          <t>✓ موجود</t>
        </is>
      </c>
      <c r="I36" s="18" t="inlineStr">
        <is>
          <t>شستشو و نظافت</t>
        </is>
      </c>
      <c r="J36" s="18" t="inlineStr">
        <is>
          <t>شستشو و نظافت کلور</t>
        </is>
      </c>
      <c r="K36" s="18" t="inlineStr">
        <is>
          <t>کلور</t>
        </is>
      </c>
      <c r="L36" s="18" t="inlineStr">
        <is>
          <t>متغیر</t>
        </is>
      </c>
      <c r="M36" s="18" t="inlineStr">
        <is>
          <t>شامل 2 تنوع</t>
        </is>
      </c>
      <c r="N36" s="18" t="inlineStr">
        <is>
          <t>2510</t>
        </is>
      </c>
      <c r="O36" s="18" t="n"/>
      <c r="P36" s="31" t="inlineStr">
        <is>
          <t>https://hosseinykala.ir/?p=2510</t>
        </is>
      </c>
      <c r="Q36" s="18" t="n"/>
      <c r="R36" s="18" t="inlineStr">
        <is>
          <t>ثبت‌شده در سایت</t>
        </is>
      </c>
    </row>
    <row r="37" ht="18.95" customHeight="1" s="38">
      <c r="A37" s="19" t="inlineStr">
        <is>
          <t>↳ رنگ: استیل</t>
        </is>
      </c>
      <c r="B37" s="20" t="n">
        <v>1196000000</v>
      </c>
      <c r="C37" s="20">
        <f>IF(OR(ISBLANK(B37),B37=""),"",IF($L37="متغیر","⚠️ والد متغیر نباید قیمت داشته باشد",B37/10))</f>
        <v/>
      </c>
      <c r="D37" s="20" t="n">
        <v>1196000000</v>
      </c>
      <c r="E37" s="43">
        <f>IF(OR(ISBLANK(B37),B37="",ISBLANK(D37),D37="",D37&lt;=0,$L37="متغیر"),"",(B37-D37)/D37)</f>
        <v/>
      </c>
      <c r="F37" s="20" t="n">
        <v>1136200000</v>
      </c>
      <c r="G37" s="20">
        <f>IF(OR(ISBLANK(F37),F37=""),"",IF($L37="متغیر","",F37/10))</f>
        <v/>
      </c>
      <c r="H37" s="22" t="inlineStr">
        <is>
          <t>✓ موجود</t>
        </is>
      </c>
      <c r="I37" s="22" t="inlineStr">
        <is>
          <t>شستشو و نظافت</t>
        </is>
      </c>
      <c r="J37" s="22" t="inlineStr">
        <is>
          <t>شستشو و نظافت کلور</t>
        </is>
      </c>
      <c r="K37" s="22" t="inlineStr">
        <is>
          <t>کلور</t>
        </is>
      </c>
      <c r="L37" s="22" t="inlineStr">
        <is>
          <t>تنوع</t>
        </is>
      </c>
      <c r="M37" s="22" t="inlineStr">
        <is>
          <t>رنگ: استیل</t>
        </is>
      </c>
      <c r="N37" s="22" t="inlineStr">
        <is>
          <t>2510</t>
        </is>
      </c>
      <c r="O37" s="22" t="n">
        <v>2518</v>
      </c>
      <c r="P37" s="32" t="inlineStr">
        <is>
          <t>https://hosseinykala.ir/?p=2510</t>
        </is>
      </c>
      <c r="Q37" s="22" t="n"/>
      <c r="R37" s="22" t="inlineStr">
        <is>
          <t>ثبت‌شده در سایت</t>
        </is>
      </c>
    </row>
    <row r="38" ht="18.95" customHeight="1" s="38">
      <c r="A38" s="19" t="inlineStr">
        <is>
          <t>↳ رنگ: سفید</t>
        </is>
      </c>
      <c r="B38" s="20" t="n">
        <v>1200000000</v>
      </c>
      <c r="C38" s="20">
        <f>IF(OR(ISBLANK(B38),B38=""),"",IF($L38="متغیر","⚠️ والد متغیر نباید قیمت داشته باشد",B38/10))</f>
        <v/>
      </c>
      <c r="D38" s="20" t="n">
        <v>1200000000</v>
      </c>
      <c r="E38" s="43">
        <f>IF(OR(ISBLANK(B38),B38="",ISBLANK(D38),D38="",D38&lt;=0,$L38="متغیر"),"",(B38-D38)/D38)</f>
        <v/>
      </c>
      <c r="F38" s="20" t="n">
        <v>1140000000</v>
      </c>
      <c r="G38" s="20">
        <f>IF(OR(ISBLANK(F38),F38=""),"",IF($L38="متغیر","",F38/10))</f>
        <v/>
      </c>
      <c r="H38" s="22" t="inlineStr">
        <is>
          <t>✓ موجود</t>
        </is>
      </c>
      <c r="I38" s="22" t="inlineStr">
        <is>
          <t>شستشو و نظافت</t>
        </is>
      </c>
      <c r="J38" s="22" t="inlineStr">
        <is>
          <t>شستشو و نظافت کلور</t>
        </is>
      </c>
      <c r="K38" s="22" t="inlineStr">
        <is>
          <t>کلور</t>
        </is>
      </c>
      <c r="L38" s="22" t="inlineStr">
        <is>
          <t>تنوع</t>
        </is>
      </c>
      <c r="M38" s="22" t="inlineStr">
        <is>
          <t>رنگ: سفید</t>
        </is>
      </c>
      <c r="N38" s="22" t="inlineStr">
        <is>
          <t>2510</t>
        </is>
      </c>
      <c r="O38" s="22" t="n">
        <v>2517</v>
      </c>
      <c r="P38" s="32" t="inlineStr">
        <is>
          <t>https://hosseinykala.ir/?p=2510</t>
        </is>
      </c>
      <c r="Q38" s="22" t="n"/>
      <c r="R38" s="22" t="inlineStr">
        <is>
          <t>ثبت‌شده در سایت</t>
        </is>
      </c>
    </row>
    <row r="39" ht="21" customHeight="1" s="38">
      <c r="A39" s="15" t="inlineStr">
        <is>
          <t>ماشین لباسشویی 9 کیلوگرم اتوماتیک کلور مدل BMWT2</t>
        </is>
      </c>
      <c r="B39" s="16" t="n"/>
      <c r="C39" s="16">
        <f>IF(OR(B39="",B39=0),"",B39/10)</f>
        <v/>
      </c>
      <c r="D39" s="16" t="n"/>
      <c r="E39" s="42">
        <f>IF(ISNUMBER(D39),(B39-D39)/D39,"")</f>
        <v/>
      </c>
      <c r="F39" s="16" t="n"/>
      <c r="G39" s="16">
        <f>IF(OR(F39="",F39=0),"",F39/10)</f>
        <v/>
      </c>
      <c r="H39" s="18" t="inlineStr">
        <is>
          <t>✓ موجود</t>
        </is>
      </c>
      <c r="I39" s="18" t="inlineStr">
        <is>
          <t>شستشو و نظافت</t>
        </is>
      </c>
      <c r="J39" s="18" t="inlineStr">
        <is>
          <t>شستشو و نظافت کلور</t>
        </is>
      </c>
      <c r="K39" s="18" t="inlineStr">
        <is>
          <t>کلور</t>
        </is>
      </c>
      <c r="L39" s="18" t="inlineStr">
        <is>
          <t>متغیر</t>
        </is>
      </c>
      <c r="M39" s="18" t="inlineStr">
        <is>
          <t>شامل 2 تنوع</t>
        </is>
      </c>
      <c r="N39" s="18" t="inlineStr">
        <is>
          <t>2505</t>
        </is>
      </c>
      <c r="O39" s="18" t="n"/>
      <c r="P39" s="31" t="inlineStr">
        <is>
          <t>https://hosseinykala.ir/?p=2505</t>
        </is>
      </c>
      <c r="Q39" s="18" t="n"/>
      <c r="R39" s="18" t="inlineStr">
        <is>
          <t>ثبت‌شده در سایت</t>
        </is>
      </c>
    </row>
    <row r="40" ht="18.95" customHeight="1" s="38">
      <c r="A40" s="19" t="inlineStr">
        <is>
          <t>↳ رنگ: سفید</t>
        </is>
      </c>
      <c r="B40" s="20" t="n">
        <v>1430000000</v>
      </c>
      <c r="C40" s="20">
        <f>IF(OR(ISBLANK(B40),B40=""),"",IF($L40="متغیر","⚠️ والد متغیر نباید قیمت داشته باشد",B40/10))</f>
        <v/>
      </c>
      <c r="D40" s="20" t="n">
        <v>1430000000</v>
      </c>
      <c r="E40" s="43">
        <f>IF(OR(ISBLANK(B40),B40="",ISBLANK(D40),D40="",D40&lt;=0,$L40="متغیر"),"",(B40-D40)/D40)</f>
        <v/>
      </c>
      <c r="F40" s="20" t="n">
        <v>1358500000</v>
      </c>
      <c r="G40" s="20">
        <f>IF(OR(ISBLANK(F40),F40=""),"",IF($L40="متغیر","",F40/10))</f>
        <v/>
      </c>
      <c r="H40" s="22" t="inlineStr">
        <is>
          <t>✓ موجود</t>
        </is>
      </c>
      <c r="I40" s="22" t="inlineStr">
        <is>
          <t>شستشو و نظافت</t>
        </is>
      </c>
      <c r="J40" s="22" t="inlineStr">
        <is>
          <t>شستشو و نظافت کلور</t>
        </is>
      </c>
      <c r="K40" s="22" t="inlineStr">
        <is>
          <t>کلور</t>
        </is>
      </c>
      <c r="L40" s="22" t="inlineStr">
        <is>
          <t>تنوع</t>
        </is>
      </c>
      <c r="M40" s="22" t="inlineStr">
        <is>
          <t>رنگ: سفید</t>
        </is>
      </c>
      <c r="N40" s="22" t="inlineStr">
        <is>
          <t>2505</t>
        </is>
      </c>
      <c r="O40" s="22" t="n">
        <v>2509</v>
      </c>
      <c r="P40" s="32" t="inlineStr">
        <is>
          <t>https://hosseinykala.ir/?p=2505</t>
        </is>
      </c>
      <c r="Q40" s="22" t="n"/>
      <c r="R40" s="22" t="inlineStr">
        <is>
          <t>ثبت‌شده در سایت</t>
        </is>
      </c>
    </row>
    <row r="41" ht="18.95" customHeight="1" s="38">
      <c r="A41" s="19" t="inlineStr">
        <is>
          <t>↳ رنگ: استیل</t>
        </is>
      </c>
      <c r="B41" s="20" t="n">
        <v>1300000000</v>
      </c>
      <c r="C41" s="20">
        <f>IF(OR(ISBLANK(B41),B41=""),"",IF($L41="متغیر","⚠️ والد متغیر نباید قیمت داشته باشد",B41/10))</f>
        <v/>
      </c>
      <c r="D41" s="20" t="n">
        <v>1300000000</v>
      </c>
      <c r="E41" s="43">
        <f>IF(OR(ISBLANK(B41),B41="",ISBLANK(D41),D41="",D41&lt;=0,$L41="متغیر"),"",(B41-D41)/D41)</f>
        <v/>
      </c>
      <c r="F41" s="20" t="n">
        <v>1235000000</v>
      </c>
      <c r="G41" s="20">
        <f>IF(OR(ISBLANK(F41),F41=""),"",IF($L41="متغیر","",F41/10))</f>
        <v/>
      </c>
      <c r="H41" s="22" t="inlineStr">
        <is>
          <t>✓ موجود</t>
        </is>
      </c>
      <c r="I41" s="22" t="inlineStr">
        <is>
          <t>شستشو و نظافت</t>
        </is>
      </c>
      <c r="J41" s="22" t="inlineStr">
        <is>
          <t>شستشو و نظافت کلور</t>
        </is>
      </c>
      <c r="K41" s="22" t="inlineStr">
        <is>
          <t>کلور</t>
        </is>
      </c>
      <c r="L41" s="22" t="inlineStr">
        <is>
          <t>تنوع</t>
        </is>
      </c>
      <c r="M41" s="22" t="inlineStr">
        <is>
          <t>رنگ: استیل</t>
        </is>
      </c>
      <c r="N41" s="22" t="inlineStr">
        <is>
          <t>2505</t>
        </is>
      </c>
      <c r="O41" s="22" t="n">
        <v>2508</v>
      </c>
      <c r="P41" s="32" t="inlineStr">
        <is>
          <t>https://hosseinykala.ir/?p=2505</t>
        </is>
      </c>
      <c r="Q41" s="22" t="n"/>
      <c r="R41" s="22" t="inlineStr">
        <is>
          <t>ثبت‌شده در سایت</t>
        </is>
      </c>
    </row>
    <row r="42" ht="21" customHeight="1" s="38">
      <c r="A42" s="23" t="inlineStr">
        <is>
          <t>ماشین لباسشویی 9 کیلوگرم کلور مدل ویوا سفید</t>
        </is>
      </c>
      <c r="B42" s="24" t="n"/>
      <c r="C42" s="24">
        <f>IF(OR(ISBLANK(B42),B42=""),"",IF($L42="متغیر","⚠️ والد متغیر نباید قیمت داشته باشد",B42/10))</f>
        <v/>
      </c>
      <c r="D42" s="24" t="n"/>
      <c r="E42" s="44">
        <f>IF(OR(ISBLANK(B42),B42="",ISBLANK(D42),D42="",D42&lt;=0,$L42="متغیر"),"",(B42-D42)/D42)</f>
        <v/>
      </c>
      <c r="F42" s="24" t="n"/>
      <c r="G42" s="24">
        <f>IF(OR(ISBLANK(F42),F42=""),"",IF($L42="متغیر","",F42/10))</f>
        <v/>
      </c>
      <c r="H42" s="26" t="inlineStr">
        <is>
          <t>✗ ناموجود</t>
        </is>
      </c>
      <c r="I42" s="26" t="inlineStr">
        <is>
          <t>شستشو و نظافت</t>
        </is>
      </c>
      <c r="J42" s="26" t="inlineStr">
        <is>
          <t>شستشو و نظافت کلور</t>
        </is>
      </c>
      <c r="K42" s="26" t="inlineStr">
        <is>
          <t>کلور</t>
        </is>
      </c>
      <c r="L42" s="26" t="inlineStr">
        <is>
          <t>ساده</t>
        </is>
      </c>
      <c r="M42" s="26" t="n"/>
      <c r="N42" s="26" t="n"/>
      <c r="O42" s="26" t="n"/>
      <c r="P42" s="33" t="n"/>
      <c r="Q42" s="26" t="n"/>
      <c r="R42" s="26" t="inlineStr">
        <is>
          <t>فعلا دست نگه دار</t>
        </is>
      </c>
    </row>
    <row r="43" ht="21" customHeight="1" s="38">
      <c r="A43" s="23" t="inlineStr">
        <is>
          <t>ماشین لباسشویی کلور مدل 9771 سفید</t>
        </is>
      </c>
      <c r="B43" s="24" t="n"/>
      <c r="C43" s="24">
        <f>IF(OR(ISBLANK(B43),B43=""),"",IF($L43="متغیر","⚠️ والد متغیر نباید قیمت داشته باشد",B43/10))</f>
        <v/>
      </c>
      <c r="D43" s="24" t="n"/>
      <c r="E43" s="44">
        <f>IF(OR(ISBLANK(B43),B43="",ISBLANK(D43),D43="",D43&lt;=0,$L43="متغیر"),"",(B43-D43)/D43)</f>
        <v/>
      </c>
      <c r="F43" s="24" t="n"/>
      <c r="G43" s="24">
        <f>IF(OR(ISBLANK(F43),F43=""),"",IF($L43="متغیر","",F43/10))</f>
        <v/>
      </c>
      <c r="H43" s="26" t="inlineStr">
        <is>
          <t>✗ ناموجود</t>
        </is>
      </c>
      <c r="I43" s="26" t="inlineStr">
        <is>
          <t>شستشو و نظافت</t>
        </is>
      </c>
      <c r="J43" s="26" t="inlineStr">
        <is>
          <t>شستشو و نظافت کلور</t>
        </is>
      </c>
      <c r="K43" s="26" t="inlineStr">
        <is>
          <t>کلور</t>
        </is>
      </c>
      <c r="L43" s="26" t="inlineStr">
        <is>
          <t>ساده</t>
        </is>
      </c>
      <c r="M43" s="26" t="n"/>
      <c r="N43" s="26" t="n"/>
      <c r="O43" s="26" t="n"/>
      <c r="P43" s="33" t="n"/>
      <c r="Q43" s="26" t="n"/>
      <c r="R43" s="26" t="inlineStr">
        <is>
          <t>فعلا دست نگه دار</t>
        </is>
      </c>
    </row>
    <row r="44" ht="21" customHeight="1" s="38">
      <c r="A44" s="23" t="inlineStr">
        <is>
          <t>جاروبرقی سطلی کلور</t>
        </is>
      </c>
      <c r="B44" s="24" t="n">
        <v>240000000</v>
      </c>
      <c r="C44" s="24">
        <f>IF(OR(ISBLANK(B44),B44=""),"",IF($L44="متغیر","⚠️ والد متغیر نباید قیمت داشته باشد",B44/10))</f>
        <v/>
      </c>
      <c r="D44" s="24" t="n">
        <v>240000000</v>
      </c>
      <c r="E44" s="44">
        <f>IF(OR(ISBLANK(B44),B44="",ISBLANK(D44),D44="",D44&lt;=0,$L44="متغیر"),"",(B44-D44)/D44)</f>
        <v/>
      </c>
      <c r="F44" s="24" t="n">
        <v>228000000</v>
      </c>
      <c r="G44" s="24">
        <f>IF(OR(ISBLANK(F44),F44=""),"",IF($L44="متغیر","",F44/10))</f>
        <v/>
      </c>
      <c r="H44" s="26" t="inlineStr">
        <is>
          <t>✓ موجود</t>
        </is>
      </c>
      <c r="I44" s="26" t="inlineStr">
        <is>
          <t>شستشو و نظافت</t>
        </is>
      </c>
      <c r="J44" s="26" t="inlineStr">
        <is>
          <t>شستشو و نظافت کلور</t>
        </is>
      </c>
      <c r="K44" s="26" t="inlineStr">
        <is>
          <t>کلور</t>
        </is>
      </c>
      <c r="L44" s="26" t="inlineStr">
        <is>
          <t>ساده</t>
        </is>
      </c>
      <c r="M44" s="26" t="n"/>
      <c r="N44" s="26" t="inlineStr">
        <is>
          <t>4042</t>
        </is>
      </c>
      <c r="O44" s="26" t="n"/>
      <c r="P44" s="33" t="inlineStr">
        <is>
          <t>https://hosseinykala.ir/product/clover-bucket-vacuum-cleaner/</t>
        </is>
      </c>
      <c r="Q44" s="26" t="n"/>
      <c r="R44" s="26" t="inlineStr">
        <is>
          <t>ثبت‌شده در سایت</t>
        </is>
      </c>
    </row>
    <row r="45" ht="21" customHeight="1" s="38">
      <c r="A45" s="23" t="inlineStr">
        <is>
          <t>ماشین ظرفشویی ۱۶ نفره کلور مدل لمسی استیل ۳ سبد</t>
        </is>
      </c>
      <c r="B45" s="24" t="n">
        <v>1300000000</v>
      </c>
      <c r="C45" s="24">
        <f>IF(OR(ISBLANK(B45),B45=""),"",IF($L45="متغیر","⚠️ والد متغیر نباید قیمت داشته باشد",B45/10))</f>
        <v/>
      </c>
      <c r="D45" s="24" t="n">
        <v>1300000000</v>
      </c>
      <c r="E45" s="44">
        <f>IF(OR(ISBLANK(B45),B45="",ISBLANK(D45),D45="",D45&lt;=0,$L45="متغیر"),"",(B45-D45)/D45)</f>
        <v/>
      </c>
      <c r="F45" s="24" t="n">
        <v>1235000000</v>
      </c>
      <c r="G45" s="24">
        <f>IF(OR(ISBLANK(F45),F45=""),"",IF($L45="متغیر","",F45/10))</f>
        <v/>
      </c>
      <c r="H45" s="26" t="inlineStr">
        <is>
          <t>✓ موجود</t>
        </is>
      </c>
      <c r="I45" s="26" t="inlineStr">
        <is>
          <t>شستشو و نظافت</t>
        </is>
      </c>
      <c r="J45" s="26" t="inlineStr">
        <is>
          <t>شستشو و نظافت کلور</t>
        </is>
      </c>
      <c r="K45" s="26" t="inlineStr">
        <is>
          <t>کلور</t>
        </is>
      </c>
      <c r="L45" s="26" t="inlineStr">
        <is>
          <t>ساده</t>
        </is>
      </c>
      <c r="M45" s="26" t="n"/>
      <c r="N45" s="26" t="inlineStr">
        <is>
          <t>3546</t>
        </is>
      </c>
      <c r="O45" s="26" t="n"/>
      <c r="P45" s="33" t="inlineStr">
        <is>
          <t>https://hosseinykala.ir/product/clover-16-person-touch-inox-dishwasher/</t>
        </is>
      </c>
      <c r="Q45" s="26" t="n"/>
      <c r="R45" s="26" t="inlineStr">
        <is>
          <t>ثبت‌شده در سایت</t>
        </is>
      </c>
    </row>
    <row r="46" ht="21.95" customHeight="1" s="38">
      <c r="A46" s="39" t="inlineStr">
        <is>
          <t xml:space="preserve">  📂 شستشو و نظافت  ◀  آراز</t>
        </is>
      </c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1" t="n"/>
    </row>
    <row r="47" ht="21" customHeight="1" s="38">
      <c r="A47" s="23" t="inlineStr">
        <is>
          <t>جاروبرقی سطلی آراز 40 لیتر</t>
        </is>
      </c>
      <c r="B47" s="24" t="n"/>
      <c r="C47" s="24">
        <f>IF(OR(ISBLANK(B47),B47=""),"",IF($L47="متغیر","⚠️ والد متغیر نباید قیمت داشته باشد",B47/10))</f>
        <v/>
      </c>
      <c r="D47" s="24" t="n"/>
      <c r="E47" s="44">
        <f>IF(OR(ISBLANK(B47),B47="",ISBLANK(D47),D47="",D47&lt;=0,$L47="متغیر"),"",(B47-D47)/D47)</f>
        <v/>
      </c>
      <c r="F47" s="24" t="n"/>
      <c r="G47" s="24">
        <f>IF(OR(ISBLANK(F47),F47=""),"",IF($L47="متغیر","",F47/10))</f>
        <v/>
      </c>
      <c r="H47" s="26" t="inlineStr">
        <is>
          <t>✓ موجود</t>
        </is>
      </c>
      <c r="I47" s="26" t="inlineStr">
        <is>
          <t>شستشو و نظافت</t>
        </is>
      </c>
      <c r="J47" s="26" t="inlineStr">
        <is>
          <t>شستشو و نظافت آراز</t>
        </is>
      </c>
      <c r="K47" s="26" t="inlineStr">
        <is>
          <t>آراز</t>
        </is>
      </c>
      <c r="L47" s="26" t="inlineStr">
        <is>
          <t>ساده</t>
        </is>
      </c>
      <c r="M47" s="26" t="n"/>
      <c r="N47" s="26" t="inlineStr">
        <is>
          <t>4044</t>
        </is>
      </c>
      <c r="O47" s="26" t="n"/>
      <c r="P47" s="33" t="inlineStr">
        <is>
          <t>https://hosseinykala.ir/product/araz-40l-bucket-vacuum-cleaner/</t>
        </is>
      </c>
      <c r="Q47" s="26" t="n"/>
      <c r="R47" s="26" t="inlineStr">
        <is>
          <t>ثبت‌شده در سایت</t>
        </is>
      </c>
    </row>
    <row r="48" ht="21.95" customHeight="1" s="38">
      <c r="A48" s="39" t="inlineStr">
        <is>
          <t xml:space="preserve">  📂 شستشو و نظافت  ◀  بست</t>
        </is>
      </c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1" t="n"/>
    </row>
    <row r="49" ht="21" customHeight="1" s="38">
      <c r="A49" s="15" t="inlineStr">
        <is>
          <t>جاروبرقی بست مدل BVC-PC18B</t>
        </is>
      </c>
      <c r="B49" s="16" t="n"/>
      <c r="C49" s="16">
        <f>IF(OR(B49="",B49=0),"",B49/10)</f>
        <v/>
      </c>
      <c r="D49" s="16" t="n"/>
      <c r="E49" s="42">
        <f>IF(ISNUMBER(D49),(B49-D49)/D49,"")</f>
        <v/>
      </c>
      <c r="F49" s="16" t="n"/>
      <c r="G49" s="16">
        <f>IF(OR(F49="",F49=0),"",F49/10)</f>
        <v/>
      </c>
      <c r="H49" s="18" t="inlineStr">
        <is>
          <t>✓ موجود</t>
        </is>
      </c>
      <c r="I49" s="18" t="inlineStr">
        <is>
          <t>شستشو و نظافت</t>
        </is>
      </c>
      <c r="J49" s="18" t="inlineStr">
        <is>
          <t>شستشو و نظافت بست</t>
        </is>
      </c>
      <c r="K49" s="18" t="inlineStr">
        <is>
          <t>بست</t>
        </is>
      </c>
      <c r="L49" s="18" t="inlineStr">
        <is>
          <t>متغیر</t>
        </is>
      </c>
      <c r="M49" s="18" t="inlineStr">
        <is>
          <t>شامل 3 تنوع</t>
        </is>
      </c>
      <c r="N49" s="18" t="inlineStr">
        <is>
          <t>2885</t>
        </is>
      </c>
      <c r="O49" s="18" t="n"/>
      <c r="P49" s="31" t="inlineStr">
        <is>
          <t>https://hosseinykala.ir/?p=2885</t>
        </is>
      </c>
      <c r="Q49" s="18" t="n"/>
      <c r="R49" s="18" t="inlineStr">
        <is>
          <t>ثبت‌شده در سایت</t>
        </is>
      </c>
    </row>
    <row r="50" ht="18.95" customHeight="1" s="38">
      <c r="A50" s="19" t="inlineStr">
        <is>
          <t>↳ رنگ: نقره ای</t>
        </is>
      </c>
      <c r="B50" s="20" t="n">
        <v>240000000</v>
      </c>
      <c r="C50" s="20">
        <f>IF(OR(ISBLANK(B50),B50=""),"",IF($L50="متغیر","⚠️ والد متغیر نباید قیمت داشته باشد",B50/10))</f>
        <v/>
      </c>
      <c r="D50" s="20" t="n">
        <v>240000000</v>
      </c>
      <c r="E50" s="43">
        <f>IF(OR(ISBLANK(B50),B50="",ISBLANK(D50),D50="",D50&lt;=0,$L50="متغیر"),"",(B50-D50)/D50)</f>
        <v/>
      </c>
      <c r="F50" s="20" t="n">
        <v>228000000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شستشو و نظافت</t>
        </is>
      </c>
      <c r="J50" s="22" t="inlineStr">
        <is>
          <t>شستشو و نظافت بست</t>
        </is>
      </c>
      <c r="K50" s="22" t="inlineStr">
        <is>
          <t>بست</t>
        </is>
      </c>
      <c r="L50" s="22" t="inlineStr">
        <is>
          <t>تنوع</t>
        </is>
      </c>
      <c r="M50" s="22" t="inlineStr">
        <is>
          <t>رنگ: نقره ای</t>
        </is>
      </c>
      <c r="N50" s="22" t="inlineStr">
        <is>
          <t>2885</t>
        </is>
      </c>
      <c r="O50" s="22" t="n">
        <v>2901</v>
      </c>
      <c r="P50" s="32" t="inlineStr">
        <is>
          <t>https://hosseinykala.ir/?p=2885</t>
        </is>
      </c>
      <c r="Q50" s="22" t="n"/>
      <c r="R50" s="22" t="inlineStr">
        <is>
          <t>ثبت‌شده در سایت</t>
        </is>
      </c>
    </row>
    <row r="51" ht="18.95" customHeight="1" s="38">
      <c r="A51" s="19" t="inlineStr">
        <is>
          <t>↳ رنگ: قرمز</t>
        </is>
      </c>
      <c r="B51" s="20" t="n">
        <v>240000000</v>
      </c>
      <c r="C51" s="20">
        <f>IF(OR(ISBLANK(B51),B51=""),"",IF($L51="متغیر","⚠️ والد متغیر نباید قیمت داشته باشد",B51/10))</f>
        <v/>
      </c>
      <c r="D51" s="20" t="n">
        <v>240000000</v>
      </c>
      <c r="E51" s="43">
        <f>IF(OR(ISBLANK(B51),B51="",ISBLANK(D51),D51="",D51&lt;=0,$L51="متغیر"),"",(B51-D51)/D51)</f>
        <v/>
      </c>
      <c r="F51" s="20" t="n">
        <v>228000000</v>
      </c>
      <c r="G51" s="20">
        <f>IF(OR(ISBLANK(F51),F51=""),"",IF($L51="متغیر","",F51/10))</f>
        <v/>
      </c>
      <c r="H51" s="22" t="inlineStr">
        <is>
          <t>✓ موجود</t>
        </is>
      </c>
      <c r="I51" s="22" t="inlineStr">
        <is>
          <t>شستشو و نظافت</t>
        </is>
      </c>
      <c r="J51" s="22" t="inlineStr">
        <is>
          <t>شستشو و نظافت بست</t>
        </is>
      </c>
      <c r="K51" s="22" t="inlineStr">
        <is>
          <t>بست</t>
        </is>
      </c>
      <c r="L51" s="22" t="inlineStr">
        <is>
          <t>تنوع</t>
        </is>
      </c>
      <c r="M51" s="22" t="inlineStr">
        <is>
          <t>رنگ: قرمز</t>
        </is>
      </c>
      <c r="N51" s="22" t="inlineStr">
        <is>
          <t>2885</t>
        </is>
      </c>
      <c r="O51" s="22" t="n">
        <v>2900</v>
      </c>
      <c r="P51" s="32" t="inlineStr">
        <is>
          <t>https://hosseinykala.ir/?p=2885</t>
        </is>
      </c>
      <c r="Q51" s="22" t="n"/>
      <c r="R51" s="22" t="inlineStr">
        <is>
          <t>ثبت‌شده در سایت</t>
        </is>
      </c>
    </row>
    <row r="52" ht="18.95" customHeight="1" s="38">
      <c r="A52" s="19" t="inlineStr">
        <is>
          <t>↳ رنگ: مشکی</t>
        </is>
      </c>
      <c r="B52" s="20" t="n">
        <v>240000000</v>
      </c>
      <c r="C52" s="20">
        <f>IF(OR(ISBLANK(B52),B52=""),"",IF($L52="متغیر","⚠️ والد متغیر نباید قیمت داشته باشد",B52/10))</f>
        <v/>
      </c>
      <c r="D52" s="20" t="n">
        <v>240000000</v>
      </c>
      <c r="E52" s="43">
        <f>IF(OR(ISBLANK(B52),B52="",ISBLANK(D52),D52="",D52&lt;=0,$L52="متغیر"),"",(B52-D52)/D52)</f>
        <v/>
      </c>
      <c r="F52" s="20" t="n">
        <v>228000000</v>
      </c>
      <c r="G52" s="20">
        <f>IF(OR(ISBLANK(F52),F52=""),"",IF($L52="متغیر","",F52/10))</f>
        <v/>
      </c>
      <c r="H52" s="22" t="inlineStr">
        <is>
          <t>✓ موجود</t>
        </is>
      </c>
      <c r="I52" s="22" t="inlineStr">
        <is>
          <t>شستشو و نظافت</t>
        </is>
      </c>
      <c r="J52" s="22" t="inlineStr">
        <is>
          <t>شستشو و نظافت بست</t>
        </is>
      </c>
      <c r="K52" s="22" t="inlineStr">
        <is>
          <t>بست</t>
        </is>
      </c>
      <c r="L52" s="22" t="inlineStr">
        <is>
          <t>تنوع</t>
        </is>
      </c>
      <c r="M52" s="22" t="inlineStr">
        <is>
          <t>رنگ: مشکی</t>
        </is>
      </c>
      <c r="N52" s="22" t="inlineStr">
        <is>
          <t>2885</t>
        </is>
      </c>
      <c r="O52" s="22" t="n">
        <v>2899</v>
      </c>
      <c r="P52" s="32" t="inlineStr">
        <is>
          <t>https://hosseinykala.ir/?p=2885</t>
        </is>
      </c>
      <c r="Q52" s="22" t="n"/>
      <c r="R52" s="22" t="inlineStr">
        <is>
          <t>ثبت‌شده در سایت</t>
        </is>
      </c>
    </row>
    <row r="53" ht="21.95" customHeight="1" s="38">
      <c r="A53" s="39" t="inlineStr">
        <is>
          <t xml:space="preserve">  📂 شستشو و نظافت  ◀  رانکو</t>
        </is>
      </c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1" t="n"/>
    </row>
    <row r="54" ht="21" customHeight="1" s="38">
      <c r="A54" s="23" t="inlineStr">
        <is>
          <t>اتوبخار رانکو</t>
        </is>
      </c>
      <c r="B54" s="24" t="n">
        <v>105000000</v>
      </c>
      <c r="C54" s="24">
        <f>IF(OR(ISBLANK(B54),B54=""),"",IF($L54="متغیر","⚠️ والد متغیر نباید قیمت داشته باشد",B54/10))</f>
        <v/>
      </c>
      <c r="D54" s="24" t="n">
        <v>105000000</v>
      </c>
      <c r="E54" s="44">
        <f>IF(OR(ISBLANK(B54),B54="",ISBLANK(D54),D54="",D54&lt;=0,$L54="متغیر"),"",(B54-D54)/D54)</f>
        <v/>
      </c>
      <c r="F54" s="24" t="n">
        <v>99750000</v>
      </c>
      <c r="G54" s="24">
        <f>IF(OR(ISBLANK(F54),F54=""),"",IF($L54="متغیر","",F54/10))</f>
        <v/>
      </c>
      <c r="H54" s="26" t="inlineStr">
        <is>
          <t>✓ موجود</t>
        </is>
      </c>
      <c r="I54" s="26" t="inlineStr">
        <is>
          <t>شستشو و نظافت</t>
        </is>
      </c>
      <c r="J54" s="26" t="inlineStr">
        <is>
          <t>شستشو و نظافت رانکو</t>
        </is>
      </c>
      <c r="K54" s="26" t="inlineStr">
        <is>
          <t>رانکو</t>
        </is>
      </c>
      <c r="L54" s="26" t="inlineStr">
        <is>
          <t>ساده</t>
        </is>
      </c>
      <c r="M54" s="26" t="n"/>
      <c r="N54" s="26" t="inlineStr">
        <is>
          <t>4046</t>
        </is>
      </c>
      <c r="O54" s="26" t="n"/>
      <c r="P54" s="33" t="inlineStr">
        <is>
          <t>https://hosseinykala.ir/product/runko-steam-iron/</t>
        </is>
      </c>
      <c r="Q54" s="26" t="n"/>
      <c r="R54" s="26" t="inlineStr">
        <is>
          <t>ثبت‌شده در سایت</t>
        </is>
      </c>
    </row>
    <row r="55" ht="21.95" customHeight="1" s="38">
      <c r="A55" s="39" t="inlineStr">
        <is>
          <t xml:space="preserve">  📂 شستشو و نظافت  ◀  ریتون</t>
        </is>
      </c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1" t="n"/>
    </row>
    <row r="56" ht="21" customHeight="1" s="38">
      <c r="A56" s="23" t="inlineStr">
        <is>
          <t>ماشین لباسشویی ۱۷ کیلوگرم دوقلو ریتون مدل دو موتوره</t>
        </is>
      </c>
      <c r="B56" s="24" t="n">
        <v>357500000</v>
      </c>
      <c r="C56" s="24">
        <f>IF(OR(ISBLANK(B56),B56=""),"",IF($L56="متغیر","⚠️ والد متغیر نباید قیمت داشته باشد",B56/10))</f>
        <v/>
      </c>
      <c r="D56" s="24" t="n">
        <v>357500000</v>
      </c>
      <c r="E56" s="44">
        <f>IF(OR(ISBLANK(B56),B56="",ISBLANK(D56),D56="",D56&lt;=0,$L56="متغیر"),"",(B56-D56)/D56)</f>
        <v/>
      </c>
      <c r="F56" s="24" t="n">
        <v>339625000</v>
      </c>
      <c r="G56" s="24">
        <f>IF(OR(ISBLANK(F56),F56=""),"",IF($L56="متغیر","",F56/10))</f>
        <v/>
      </c>
      <c r="H56" s="26" t="inlineStr">
        <is>
          <t>✓ موجود</t>
        </is>
      </c>
      <c r="I56" s="26" t="inlineStr">
        <is>
          <t>شستشو و نظافت</t>
        </is>
      </c>
      <c r="J56" s="26" t="inlineStr">
        <is>
          <t>شستشو و نظافت ریتون</t>
        </is>
      </c>
      <c r="K56" s="26" t="inlineStr">
        <is>
          <t>ریتون</t>
        </is>
      </c>
      <c r="L56" s="26" t="inlineStr">
        <is>
          <t>ساده</t>
        </is>
      </c>
      <c r="M56" s="26" t="n"/>
      <c r="N56" s="26" t="inlineStr">
        <is>
          <t>3551</t>
        </is>
      </c>
      <c r="O56" s="26" t="n"/>
      <c r="P56" s="33" t="inlineStr">
        <is>
          <t>https://hosseinykala.ir/?p=3551</t>
        </is>
      </c>
      <c r="Q56" s="26" t="n"/>
      <c r="R56" s="26" t="inlineStr">
        <is>
          <t>ثبت‌شده در سایت</t>
        </is>
      </c>
    </row>
    <row r="57" ht="21" customHeight="1" s="38">
      <c r="A57" s="23" t="inlineStr">
        <is>
          <t>لباسشویی دوقلو 17 کیلویی ریتون</t>
        </is>
      </c>
      <c r="B57" s="24" t="n"/>
      <c r="C57" s="24">
        <f>IF(OR(ISBLANK(B57),B57=""),"",IF($L57="متغیر","⚠️ والد متغیر نباید قیمت داشته باشد",B57/10))</f>
        <v/>
      </c>
      <c r="D57" s="24" t="n"/>
      <c r="E57" s="44">
        <f>IF(OR(ISBLANK(B57),B57="",ISBLANK(D57),D57="",D57&lt;=0,$L57="متغیر"),"",(B57-D57)/D57)</f>
        <v/>
      </c>
      <c r="F57" s="24" t="n"/>
      <c r="G57" s="24">
        <f>IF(OR(ISBLANK(F57),F57=""),"",IF($L57="متغیر","",F57/10))</f>
        <v/>
      </c>
      <c r="H57" s="26" t="inlineStr">
        <is>
          <t>✗ ناموجود</t>
        </is>
      </c>
      <c r="I57" s="26" t="inlineStr">
        <is>
          <t>شستشو و نظافت</t>
        </is>
      </c>
      <c r="J57" s="26" t="inlineStr">
        <is>
          <t>شستشو و نظافت ریتون</t>
        </is>
      </c>
      <c r="K57" s="26" t="inlineStr">
        <is>
          <t>ریتون</t>
        </is>
      </c>
      <c r="L57" s="26" t="inlineStr">
        <is>
          <t>ساده</t>
        </is>
      </c>
      <c r="M57" s="26" t="n"/>
      <c r="N57" s="26" t="inlineStr">
        <is>
          <t>4048</t>
        </is>
      </c>
      <c r="O57" s="26" t="n"/>
      <c r="P57" s="33" t="inlineStr">
        <is>
          <t>https://hosseinykala.ir/product/reyton-17kg-twin-tub-washing-machine/</t>
        </is>
      </c>
      <c r="Q57" s="26" t="n"/>
      <c r="R57" s="26" t="inlineStr">
        <is>
          <t>ثبت‌شده در سایت</t>
        </is>
      </c>
    </row>
    <row r="58" ht="21.95" customHeight="1" s="38">
      <c r="A58" s="39" t="inlineStr">
        <is>
          <t xml:space="preserve">  📂 شستشو و نظافت  ◀  ساپر</t>
        </is>
      </c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1" t="n"/>
    </row>
    <row r="59" ht="21" customHeight="1" s="38">
      <c r="A59" s="23" t="inlineStr">
        <is>
          <t>اتوبخار ساپر کف سرامیک مدل 4025</t>
        </is>
      </c>
      <c r="B59" s="24" t="n">
        <v>120000000</v>
      </c>
      <c r="C59" s="24">
        <f>IF(OR(ISBLANK(B59),B59=""),"",IF($L59="متغیر","⚠️ والد متغیر نباید قیمت داشته باشد",B59/10))</f>
        <v/>
      </c>
      <c r="D59" s="24" t="n">
        <v>120000000</v>
      </c>
      <c r="E59" s="44">
        <f>IF(OR(ISBLANK(B59),B59="",ISBLANK(D59),D59="",D59&lt;=0,$L59="متغیر"),"",(B59-D59)/D59)</f>
        <v/>
      </c>
      <c r="F59" s="24" t="n">
        <v>114000000</v>
      </c>
      <c r="G59" s="24">
        <f>IF(OR(ISBLANK(F59),F59=""),"",IF($L59="متغیر","",F59/10))</f>
        <v/>
      </c>
      <c r="H59" s="26" t="inlineStr">
        <is>
          <t>✓ موجود</t>
        </is>
      </c>
      <c r="I59" s="26" t="inlineStr">
        <is>
          <t>شستشو و نظافت</t>
        </is>
      </c>
      <c r="J59" s="26" t="inlineStr">
        <is>
          <t>شستشو و نظافت ساپر</t>
        </is>
      </c>
      <c r="K59" s="26" t="inlineStr">
        <is>
          <t>ساپر</t>
        </is>
      </c>
      <c r="L59" s="26" t="inlineStr">
        <is>
          <t>ساده</t>
        </is>
      </c>
      <c r="M59" s="26" t="n"/>
      <c r="N59" s="26" t="inlineStr">
        <is>
          <t>4050</t>
        </is>
      </c>
      <c r="O59" s="26" t="n"/>
      <c r="P59" s="33" t="inlineStr">
        <is>
          <t>https://hosseinykala.ir/product/saper-4025-ceramic-steam-iron/</t>
        </is>
      </c>
      <c r="Q59" s="26" t="n"/>
      <c r="R59" s="26" t="inlineStr">
        <is>
          <t>ثبت‌شده در سایت</t>
        </is>
      </c>
    </row>
    <row r="60" ht="21" customHeight="1" s="38">
      <c r="A60" s="23" t="inlineStr">
        <is>
          <t>اتوبخار ساپر کف سرامیک مدل 4035</t>
        </is>
      </c>
      <c r="B60" s="24" t="n">
        <v>120000000</v>
      </c>
      <c r="C60" s="24">
        <f>IF(OR(ISBLANK(B60),B60=""),"",IF($L60="متغیر","⚠️ والد متغیر نباید قیمت داشته باشد",B60/10))</f>
        <v/>
      </c>
      <c r="D60" s="24" t="n">
        <v>120000000</v>
      </c>
      <c r="E60" s="44">
        <f>IF(OR(ISBLANK(B60),B60="",ISBLANK(D60),D60="",D60&lt;=0,$L60="متغیر"),"",(B60-D60)/D60)</f>
        <v/>
      </c>
      <c r="F60" s="24" t="n">
        <v>114000000</v>
      </c>
      <c r="G60" s="24">
        <f>IF(OR(ISBLANK(F60),F60=""),"",IF($L60="متغیر","",F60/10))</f>
        <v/>
      </c>
      <c r="H60" s="26" t="inlineStr">
        <is>
          <t>✓ موجود</t>
        </is>
      </c>
      <c r="I60" s="26" t="inlineStr">
        <is>
          <t>شستشو و نظافت</t>
        </is>
      </c>
      <c r="J60" s="26" t="inlineStr">
        <is>
          <t>شستشو و نظافت ساپر</t>
        </is>
      </c>
      <c r="K60" s="26" t="inlineStr">
        <is>
          <t>ساپر</t>
        </is>
      </c>
      <c r="L60" s="26" t="inlineStr">
        <is>
          <t>ساده</t>
        </is>
      </c>
      <c r="M60" s="26" t="n"/>
      <c r="N60" s="26" t="inlineStr">
        <is>
          <t>4053</t>
        </is>
      </c>
      <c r="O60" s="26" t="n"/>
      <c r="P60" s="33" t="inlineStr">
        <is>
          <t>https://hosseinykala.ir/product/saper-4035-ceramic-steam-iron/</t>
        </is>
      </c>
      <c r="Q60" s="26" t="n"/>
      <c r="R60" s="26" t="inlineStr">
        <is>
          <t>ثبت‌شده در سایت</t>
        </is>
      </c>
    </row>
    <row r="61" ht="21.95" customHeight="1" s="38">
      <c r="A61" s="39" t="inlineStr">
        <is>
          <t xml:space="preserve">  📂 شستشو و نظافت  ◀  سران</t>
        </is>
      </c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1" t="n"/>
    </row>
    <row r="62" ht="21" customHeight="1" s="38">
      <c r="A62" s="15" t="inlineStr">
        <is>
          <t>جاروبرقی سطلی 21 لیتری سران مدل آب و خاک</t>
        </is>
      </c>
      <c r="B62" s="16" t="n"/>
      <c r="C62" s="16">
        <f>IF(OR(B62="",B62=0),"",B62/10)</f>
        <v/>
      </c>
      <c r="D62" s="16" t="n"/>
      <c r="E62" s="42">
        <f>IF(ISNUMBER(D62),(B62-D62)/D62,"")</f>
        <v/>
      </c>
      <c r="F62" s="16" t="n"/>
      <c r="G62" s="16">
        <f>IF(OR(F62="",F62=0),"",F62/10)</f>
        <v/>
      </c>
      <c r="H62" s="18" t="inlineStr">
        <is>
          <t>✓ موجود</t>
        </is>
      </c>
      <c r="I62" s="18" t="inlineStr">
        <is>
          <t>شستشو و نظافت</t>
        </is>
      </c>
      <c r="J62" s="18" t="inlineStr">
        <is>
          <t>شستشو و نظافت سران</t>
        </is>
      </c>
      <c r="K62" s="18" t="inlineStr">
        <is>
          <t>سران</t>
        </is>
      </c>
      <c r="L62" s="18" t="inlineStr">
        <is>
          <t>متغیر</t>
        </is>
      </c>
      <c r="M62" s="18" t="inlineStr">
        <is>
          <t>شامل 2 تنوع</t>
        </is>
      </c>
      <c r="N62" s="18" t="inlineStr">
        <is>
          <t>4055</t>
        </is>
      </c>
      <c r="O62" s="18" t="n"/>
      <c r="P62" s="31" t="inlineStr">
        <is>
          <t>https://hosseinykala.ir/product/soran-21l-wet-dry-vacuum-cleaner/</t>
        </is>
      </c>
      <c r="Q62" s="18" t="n"/>
      <c r="R62" s="18" t="inlineStr">
        <is>
          <t>ثبت‌شده در سایت</t>
        </is>
      </c>
    </row>
    <row r="63" ht="18.95" customHeight="1" s="38">
      <c r="A63" s="19" t="inlineStr">
        <is>
          <t>↳ رنگ: زرد</t>
        </is>
      </c>
      <c r="B63" s="20" t="n">
        <v>470000000</v>
      </c>
      <c r="C63" s="20">
        <f>IF(OR(ISBLANK(B63),B63=""),"",IF($L63="متغیر","⚠️ والد متغیر نباید قیمت داشته باشد",B63/10))</f>
        <v/>
      </c>
      <c r="D63" s="20" t="n">
        <v>470000000</v>
      </c>
      <c r="E63" s="43">
        <f>IF(OR(ISBLANK(B63),B63="",ISBLANK(D63),D63="",D63&lt;=0,$L63="متغیر"),"",(B63-D63)/D63)</f>
        <v/>
      </c>
      <c r="F63" s="20" t="n">
        <v>446500000</v>
      </c>
      <c r="G63" s="20">
        <f>IF(OR(ISBLANK(F63),F63=""),"",IF($L63="متغیر","",F63/10))</f>
        <v/>
      </c>
      <c r="H63" s="22" t="inlineStr">
        <is>
          <t>✓ موجود</t>
        </is>
      </c>
      <c r="I63" s="22" t="inlineStr">
        <is>
          <t>شستشو و نظافت</t>
        </is>
      </c>
      <c r="J63" s="22" t="inlineStr">
        <is>
          <t>شستشو و نظافت سران</t>
        </is>
      </c>
      <c r="K63" s="22" t="inlineStr">
        <is>
          <t>سران</t>
        </is>
      </c>
      <c r="L63" s="22" t="inlineStr">
        <is>
          <t>تنوع</t>
        </is>
      </c>
      <c r="M63" s="22" t="inlineStr">
        <is>
          <t>رنگ: زرد</t>
        </is>
      </c>
      <c r="N63" s="22" t="inlineStr">
        <is>
          <t>4055</t>
        </is>
      </c>
      <c r="O63" s="22" t="n">
        <v>4056</v>
      </c>
      <c r="P63" s="32" t="inlineStr">
        <is>
          <t>https://hosseinykala.ir/product/soran-21l-wet-dry-vacuum-cleaner/</t>
        </is>
      </c>
      <c r="Q63" s="22" t="n"/>
      <c r="R63" s="22" t="inlineStr">
        <is>
          <t>ثبت‌شده در سایت</t>
        </is>
      </c>
    </row>
    <row r="64" ht="18.95" customHeight="1" s="38">
      <c r="A64" s="19" t="inlineStr">
        <is>
          <t>↳ رنگ: مشکی</t>
        </is>
      </c>
      <c r="B64" s="20" t="n">
        <v>470000000</v>
      </c>
      <c r="C64" s="20">
        <f>IF(OR(ISBLANK(B64),B64=""),"",IF($L64="متغیر","⚠️ والد متغیر نباید قیمت داشته باشد",B64/10))</f>
        <v/>
      </c>
      <c r="D64" s="20" t="n">
        <v>470000000</v>
      </c>
      <c r="E64" s="43">
        <f>IF(OR(ISBLANK(B64),B64="",ISBLANK(D64),D64="",D64&lt;=0,$L64="متغیر"),"",(B64-D64)/D64)</f>
        <v/>
      </c>
      <c r="F64" s="20" t="n">
        <v>446500000</v>
      </c>
      <c r="G64" s="20">
        <f>IF(OR(ISBLANK(F64),F64=""),"",IF($L64="متغیر","",F64/10))</f>
        <v/>
      </c>
      <c r="H64" s="22" t="inlineStr">
        <is>
          <t>✓ موجود</t>
        </is>
      </c>
      <c r="I64" s="22" t="inlineStr">
        <is>
          <t>شستشو و نظافت</t>
        </is>
      </c>
      <c r="J64" s="22" t="inlineStr">
        <is>
          <t>شستشو و نظافت سران</t>
        </is>
      </c>
      <c r="K64" s="22" t="inlineStr">
        <is>
          <t>سران</t>
        </is>
      </c>
      <c r="L64" s="22" t="inlineStr">
        <is>
          <t>تنوع</t>
        </is>
      </c>
      <c r="M64" s="22" t="inlineStr">
        <is>
          <t>رنگ: مشکی</t>
        </is>
      </c>
      <c r="N64" s="22" t="inlineStr">
        <is>
          <t>4055</t>
        </is>
      </c>
      <c r="O64" s="22" t="n">
        <v>4057</v>
      </c>
      <c r="P64" s="32" t="inlineStr">
        <is>
          <t>https://hosseinykala.ir/product/soran-21l-wet-dry-vacuum-cleaner/</t>
        </is>
      </c>
      <c r="Q64" s="22" t="n"/>
      <c r="R64" s="22" t="inlineStr">
        <is>
          <t>ثبت‌شده در سایت</t>
        </is>
      </c>
    </row>
    <row r="65" ht="21.95" customHeight="1" s="38">
      <c r="A65" s="39" t="inlineStr">
        <is>
          <t xml:space="preserve">  📂 شستشو و نظافت  ◀  سیماران</t>
        </is>
      </c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1" t="n"/>
    </row>
    <row r="66" ht="21" customHeight="1" s="38">
      <c r="A66" s="23" t="inlineStr">
        <is>
          <t>اتوبخار سیماران مدل 8002 زرد</t>
        </is>
      </c>
      <c r="B66" s="24" t="n">
        <v>130000000</v>
      </c>
      <c r="C66" s="24">
        <f>IF(OR(ISBLANK(B66),B66=""),"",IF($L66="متغیر","⚠️ والد متغیر نباید قیمت داشته باشد",B66/10))</f>
        <v/>
      </c>
      <c r="D66" s="24" t="n">
        <v>130000000</v>
      </c>
      <c r="E66" s="44">
        <f>IF(OR(ISBLANK(B66),B66="",ISBLANK(D66),D66="",D66&lt;=0,$L66="متغیر"),"",(B66-D66)/D66)</f>
        <v/>
      </c>
      <c r="F66" s="24" t="n">
        <v>123500000</v>
      </c>
      <c r="G66" s="24">
        <f>IF(OR(ISBLANK(F66),F66=""),"",IF($L66="متغیر","",F66/10))</f>
        <v/>
      </c>
      <c r="H66" s="26" t="inlineStr">
        <is>
          <t>✓ موجود</t>
        </is>
      </c>
      <c r="I66" s="26" t="inlineStr">
        <is>
          <t>شستشو و نظافت</t>
        </is>
      </c>
      <c r="J66" s="26" t="inlineStr">
        <is>
          <t>شستشو و نظافت سیماران</t>
        </is>
      </c>
      <c r="K66" s="26" t="inlineStr">
        <is>
          <t>سیماران</t>
        </is>
      </c>
      <c r="L66" s="26" t="inlineStr">
        <is>
          <t>ساده</t>
        </is>
      </c>
      <c r="M66" s="26" t="n"/>
      <c r="N66" s="26" t="inlineStr">
        <is>
          <t>4167</t>
        </is>
      </c>
      <c r="O66" s="26" t="n"/>
      <c r="P66" s="33" t="inlineStr">
        <is>
          <t>https://hosseinykala.ir/product/simaran-8002-steam-iron-yellow/</t>
        </is>
      </c>
      <c r="Q66" s="26" t="n"/>
      <c r="R66" s="26" t="inlineStr">
        <is>
          <t>ثبت‌شده در سایت</t>
        </is>
      </c>
    </row>
    <row r="67" ht="21.95" customHeight="1" s="38">
      <c r="A67" s="39" t="inlineStr">
        <is>
          <t xml:space="preserve">  📂 شستشو و نظافت  ◀  فریدولین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1" t="n"/>
    </row>
    <row r="68" ht="21" customHeight="1" s="38">
      <c r="A68" s="23" t="inlineStr">
        <is>
          <t>مینی واش فریدولین 3.5 کیلوگرم مدل تک درب</t>
        </is>
      </c>
      <c r="B68" s="24" t="n">
        <v>145000000</v>
      </c>
      <c r="C68" s="24">
        <f>IF(OR(ISBLANK(B68),B68=""),"",IF($L68="متغیر","⚠️ والد متغیر نباید قیمت داشته باشد",B68/10))</f>
        <v/>
      </c>
      <c r="D68" s="24" t="n">
        <v>145000000</v>
      </c>
      <c r="E68" s="44">
        <f>IF(OR(ISBLANK(B68),B68="",ISBLANK(D68),D68="",D68&lt;=0,$L68="متغیر"),"",(B68-D68)/D68)</f>
        <v/>
      </c>
      <c r="F68" s="24" t="n">
        <v>137750000</v>
      </c>
      <c r="G68" s="24">
        <f>IF(OR(ISBLANK(F68),F68=""),"",IF($L68="متغیر","",F68/10))</f>
        <v/>
      </c>
      <c r="H68" s="26" t="inlineStr">
        <is>
          <t>✓ موجود</t>
        </is>
      </c>
      <c r="I68" s="26" t="inlineStr">
        <is>
          <t>شستشو و نظافت</t>
        </is>
      </c>
      <c r="J68" s="26" t="inlineStr">
        <is>
          <t>شستشو و نظافت فریدولین</t>
        </is>
      </c>
      <c r="K68" s="26" t="inlineStr">
        <is>
          <t>فریدولین</t>
        </is>
      </c>
      <c r="L68" s="26" t="inlineStr">
        <is>
          <t>ساده</t>
        </is>
      </c>
      <c r="M68" s="26" t="n"/>
      <c r="N68" s="26" t="inlineStr">
        <is>
          <t>4061</t>
        </is>
      </c>
      <c r="O68" s="26" t="n"/>
      <c r="P68" s="33" t="inlineStr">
        <is>
          <t>https://hosseinykala.ir/product/feridolin-sw35-single-door-mini-washer/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شستشو و نظافت  ◀  فیلیپس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اتو بخار فیلیپس مدل DST5040</t>
        </is>
      </c>
      <c r="B70" s="24" t="n">
        <v>84500000</v>
      </c>
      <c r="C70" s="24">
        <f>IF(OR(ISBLANK(B70),B70=""),"",IF($L70="متغیر","⚠️ والد متغیر نباید قیمت داشته باشد",B70/10))</f>
        <v/>
      </c>
      <c r="D70" s="24" t="n">
        <v>84500000</v>
      </c>
      <c r="E70" s="44">
        <f>IF(OR(ISBLANK(B70),B70="",ISBLANK(D70),D70="",D70&lt;=0,$L70="متغیر"),"",(B70-D70)/D70)</f>
        <v/>
      </c>
      <c r="F70" s="24" t="n">
        <v>80275000</v>
      </c>
      <c r="G70" s="24">
        <f>IF(OR(ISBLANK(F70),F70=""),"",IF($L70="متغیر","",F70/10))</f>
        <v/>
      </c>
      <c r="H70" s="26" t="inlineStr">
        <is>
          <t>✓ موجود</t>
        </is>
      </c>
      <c r="I70" s="26" t="inlineStr">
        <is>
          <t>شستشو و نظافت</t>
        </is>
      </c>
      <c r="J70" s="26" t="inlineStr">
        <is>
          <t>شستشو و نظافت فیلیپس</t>
        </is>
      </c>
      <c r="K70" s="26" t="inlineStr">
        <is>
          <t>فیلیپس</t>
        </is>
      </c>
      <c r="L70" s="26" t="inlineStr">
        <is>
          <t>ساده</t>
        </is>
      </c>
      <c r="M70" s="26" t="n"/>
      <c r="N70" s="26" t="inlineStr">
        <is>
          <t>3271</t>
        </is>
      </c>
      <c r="O70" s="26" t="n"/>
      <c r="P70" s="33" t="inlineStr">
        <is>
          <t>https://hosseinykala.ir/?p=3271</t>
        </is>
      </c>
      <c r="Q70" s="26" t="n"/>
      <c r="R70" s="26" t="inlineStr">
        <is>
          <t>ثبت‌شده در سایت</t>
        </is>
      </c>
    </row>
    <row r="71" ht="21.95" customHeight="1" s="38">
      <c r="A71" s="39" t="inlineStr">
        <is>
          <t xml:space="preserve">  📂 شستشو و نظافت  ◀  مونزا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1" t="n"/>
    </row>
    <row r="72" ht="21" customHeight="1" s="38">
      <c r="A72" s="23" t="inlineStr">
        <is>
          <t>اتوبخار مونزا مدل VR3000W</t>
        </is>
      </c>
      <c r="B72" s="24" t="n">
        <v>115000000</v>
      </c>
      <c r="C72" s="24">
        <f>IF(OR(ISBLANK(B72),B72=""),"",IF($L72="متغیر","⚠️ والد متغیر نباید قیمت داشته باشد",B72/10))</f>
        <v/>
      </c>
      <c r="D72" s="24" t="n">
        <v>115000000</v>
      </c>
      <c r="E72" s="44">
        <f>IF(OR(ISBLANK(B72),B72="",ISBLANK(D72),D72="",D72&lt;=0,$L72="متغیر"),"",(B72-D72)/D72)</f>
        <v/>
      </c>
      <c r="F72" s="24" t="n">
        <v>109250000</v>
      </c>
      <c r="G72" s="24">
        <f>IF(OR(ISBLANK(F72),F72=""),"",IF($L72="متغیر","",F72/10))</f>
        <v/>
      </c>
      <c r="H72" s="26" t="inlineStr">
        <is>
          <t>✓ موجود</t>
        </is>
      </c>
      <c r="I72" s="26" t="inlineStr">
        <is>
          <t>شستشو و نظافت</t>
        </is>
      </c>
      <c r="J72" s="26" t="inlineStr">
        <is>
          <t>شستشو و نظافت مونزا</t>
        </is>
      </c>
      <c r="K72" s="26" t="inlineStr">
        <is>
          <t>مونزا</t>
        </is>
      </c>
      <c r="L72" s="26" t="inlineStr">
        <is>
          <t>ساده</t>
        </is>
      </c>
      <c r="M72" s="26" t="n"/>
      <c r="N72" s="26" t="inlineStr">
        <is>
          <t>4063</t>
        </is>
      </c>
      <c r="O72" s="26" t="n"/>
      <c r="P72" s="33" t="inlineStr">
        <is>
          <t>https://hosseinykala.ir/product/monza-vr3000w-steam-iron/</t>
        </is>
      </c>
      <c r="Q72" s="26" t="n"/>
      <c r="R72" s="26" t="inlineStr">
        <is>
          <t>ثبت‌شده در سایت</t>
        </is>
      </c>
    </row>
    <row r="73" ht="21.95" customHeight="1" s="38">
      <c r="A73" s="39" t="inlineStr">
        <is>
          <t xml:space="preserve">  📂 شستشو و نظافت  ◀  هیتاچی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1" t="n"/>
    </row>
    <row r="74" ht="21" customHeight="1" s="38">
      <c r="A74" s="15" t="inlineStr">
        <is>
          <t>جاروبرقی سطلی هیتاچی مدل CV-950F.</t>
        </is>
      </c>
      <c r="B74" s="16" t="n"/>
      <c r="C74" s="16">
        <f>IF(OR(B74="",B74=0),"",B74/10)</f>
        <v/>
      </c>
      <c r="D74" s="16" t="n"/>
      <c r="E74" s="42">
        <f>IF(ISNUMBER(D74),(B74-D74)/D74,"")</f>
        <v/>
      </c>
      <c r="F74" s="16" t="n"/>
      <c r="G74" s="16">
        <f>IF(OR(F74="",F74=0),"",F74/10)</f>
        <v/>
      </c>
      <c r="H74" s="18" t="inlineStr">
        <is>
          <t>✓ موجود</t>
        </is>
      </c>
      <c r="I74" s="18" t="inlineStr">
        <is>
          <t>شستشو و نظافت</t>
        </is>
      </c>
      <c r="J74" s="18" t="inlineStr">
        <is>
          <t>شستشو و نظافت هیتاچی</t>
        </is>
      </c>
      <c r="K74" s="18" t="inlineStr">
        <is>
          <t>هیتاچی</t>
        </is>
      </c>
      <c r="L74" s="18" t="inlineStr">
        <is>
          <t>متغیر</t>
        </is>
      </c>
      <c r="M74" s="18" t="inlineStr">
        <is>
          <t>شامل 3 تنوع</t>
        </is>
      </c>
      <c r="N74" s="18" t="inlineStr">
        <is>
          <t>2519</t>
        </is>
      </c>
      <c r="O74" s="18" t="n"/>
      <c r="P74" s="31" t="inlineStr">
        <is>
          <t>https://hosseinykala.ir/?p=2519</t>
        </is>
      </c>
      <c r="Q74" s="18" t="n"/>
      <c r="R74" s="18" t="inlineStr">
        <is>
          <t>ثبت‌شده در سایت</t>
        </is>
      </c>
    </row>
    <row r="75" ht="18.95" customHeight="1" s="38">
      <c r="A75" s="19" t="inlineStr">
        <is>
          <t>↳ رنگ: قرمز</t>
        </is>
      </c>
      <c r="B75" s="20" t="n">
        <v>327600000</v>
      </c>
      <c r="C75" s="20">
        <f>IF(OR(ISBLANK(B75),B75=""),"",IF($L75="متغیر","⚠️ والد متغیر نباید قیمت داشته باشد",B75/10))</f>
        <v/>
      </c>
      <c r="D75" s="20" t="n">
        <v>327600000</v>
      </c>
      <c r="E75" s="43">
        <f>IF(OR(ISBLANK(B75),B75="",ISBLANK(D75),D75="",D75&lt;=0,$L75="متغیر"),"",(B75-D75)/D75)</f>
        <v/>
      </c>
      <c r="F75" s="20" t="n">
        <v>311220000</v>
      </c>
      <c r="G75" s="20">
        <f>IF(OR(ISBLANK(F75),F75=""),"",IF($L75="متغیر","",F75/10))</f>
        <v/>
      </c>
      <c r="H75" s="22" t="inlineStr">
        <is>
          <t>✓ موجود</t>
        </is>
      </c>
      <c r="I75" s="22" t="inlineStr">
        <is>
          <t>شستشو و نظافت</t>
        </is>
      </c>
      <c r="J75" s="22" t="inlineStr">
        <is>
          <t>شستشو و نظافت هیتاچی</t>
        </is>
      </c>
      <c r="K75" s="22" t="inlineStr">
        <is>
          <t>هیتاچی</t>
        </is>
      </c>
      <c r="L75" s="22" t="inlineStr">
        <is>
          <t>تنوع</t>
        </is>
      </c>
      <c r="M75" s="22" t="inlineStr">
        <is>
          <t>رنگ: قرمز</t>
        </is>
      </c>
      <c r="N75" s="22" t="inlineStr">
        <is>
          <t>2519</t>
        </is>
      </c>
      <c r="O75" s="22" t="n">
        <v>2532</v>
      </c>
      <c r="P75" s="32" t="inlineStr">
        <is>
          <t>https://hosseinykala.ir/?p=2519</t>
        </is>
      </c>
      <c r="Q75" s="22" t="n"/>
      <c r="R75" s="22" t="inlineStr">
        <is>
          <t>ثبت‌شده در سایت</t>
        </is>
      </c>
    </row>
    <row r="76" ht="18.95" customHeight="1" s="38">
      <c r="A76" s="19" t="inlineStr">
        <is>
          <t>↳ رنگ: زرشکی</t>
        </is>
      </c>
      <c r="B76" s="20" t="n">
        <v>318500000</v>
      </c>
      <c r="C76" s="20">
        <f>IF(OR(ISBLANK(B76),B76=""),"",IF($L76="متغیر","⚠️ والد متغیر نباید قیمت داشته باشد",B76/10))</f>
        <v/>
      </c>
      <c r="D76" s="20" t="n">
        <v>318500000</v>
      </c>
      <c r="E76" s="43">
        <f>IF(OR(ISBLANK(B76),B76="",ISBLANK(D76),D76="",D76&lt;=0,$L76="متغیر"),"",(B76-D76)/D76)</f>
        <v/>
      </c>
      <c r="F76" s="20" t="n">
        <v>302575000</v>
      </c>
      <c r="G76" s="20">
        <f>IF(OR(ISBLANK(F76),F76=""),"",IF($L76="متغیر","",F76/10))</f>
        <v/>
      </c>
      <c r="H76" s="22" t="inlineStr">
        <is>
          <t>✓ موجود</t>
        </is>
      </c>
      <c r="I76" s="22" t="inlineStr">
        <is>
          <t>شستشو و نظافت</t>
        </is>
      </c>
      <c r="J76" s="22" t="inlineStr">
        <is>
          <t>شستشو و نظافت هیتاچی</t>
        </is>
      </c>
      <c r="K76" s="22" t="inlineStr">
        <is>
          <t>هیتاچی</t>
        </is>
      </c>
      <c r="L76" s="22" t="inlineStr">
        <is>
          <t>تنوع</t>
        </is>
      </c>
      <c r="M76" s="22" t="inlineStr">
        <is>
          <t>رنگ: زرشکی</t>
        </is>
      </c>
      <c r="N76" s="22" t="inlineStr">
        <is>
          <t>2519</t>
        </is>
      </c>
      <c r="O76" s="22" t="n">
        <v>2531</v>
      </c>
      <c r="P76" s="32" t="inlineStr">
        <is>
          <t>https://hosseinykala.ir/?p=2519</t>
        </is>
      </c>
      <c r="Q76" s="22" t="n"/>
      <c r="R76" s="22" t="inlineStr">
        <is>
          <t>ثبت‌شده در سایت</t>
        </is>
      </c>
    </row>
    <row r="77" ht="18.95" customHeight="1" s="38">
      <c r="A77" s="19" t="inlineStr">
        <is>
          <t>↳ رنگ: مشکی</t>
        </is>
      </c>
      <c r="B77" s="20" t="n">
        <v>318500000</v>
      </c>
      <c r="C77" s="20">
        <f>IF(OR(ISBLANK(B77),B77=""),"",IF($L77="متغیر","⚠️ والد متغیر نباید قیمت داشته باشد",B77/10))</f>
        <v/>
      </c>
      <c r="D77" s="20" t="n">
        <v>318500000</v>
      </c>
      <c r="E77" s="43">
        <f>IF(OR(ISBLANK(B77),B77="",ISBLANK(D77),D77="",D77&lt;=0,$L77="متغیر"),"",(B77-D77)/D77)</f>
        <v/>
      </c>
      <c r="F77" s="20" t="n">
        <v>302575000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شستشو و نظافت</t>
        </is>
      </c>
      <c r="J77" s="22" t="inlineStr">
        <is>
          <t>شستشو و نظافت هیتاچی</t>
        </is>
      </c>
      <c r="K77" s="22" t="inlineStr">
        <is>
          <t>هیتاچی</t>
        </is>
      </c>
      <c r="L77" s="22" t="inlineStr">
        <is>
          <t>تنوع</t>
        </is>
      </c>
      <c r="M77" s="22" t="inlineStr">
        <is>
          <t>رنگ: مشکی</t>
        </is>
      </c>
      <c r="N77" s="22" t="inlineStr">
        <is>
          <t>2519</t>
        </is>
      </c>
      <c r="O77" s="22" t="n">
        <v>2530</v>
      </c>
      <c r="P77" s="32" t="inlineStr">
        <is>
          <t>https://hosseinykala.ir/?p=2519</t>
        </is>
      </c>
      <c r="Q77" s="22" t="n"/>
      <c r="R77" s="22" t="inlineStr">
        <is>
          <t>ثبت‌شده در سایت</t>
        </is>
      </c>
    </row>
    <row r="78" ht="21" customHeight="1" s="38">
      <c r="A78" s="23" t="inlineStr">
        <is>
          <t>جاروبرقی سطلی هیتاچی 1200</t>
        </is>
      </c>
      <c r="B78" s="24" t="n"/>
      <c r="C78" s="24">
        <f>IF(OR(ISBLANK(B78),B78=""),"",IF($L78="متغیر","⚠️ والد متغیر نباید قیمت داشته باشد",B78/10))</f>
        <v/>
      </c>
      <c r="D78" s="24" t="n"/>
      <c r="E78" s="44">
        <f>IF(OR(ISBLANK(B78),B78="",ISBLANK(D78),D78="",D78&lt;=0,$L78="متغیر"),"",(B78-D78)/D78)</f>
        <v/>
      </c>
      <c r="F78" s="24" t="n"/>
      <c r="G78" s="24">
        <f>IF(OR(ISBLANK(F78),F78=""),"",IF($L78="متغیر","",F78/10))</f>
        <v/>
      </c>
      <c r="H78" s="26" t="inlineStr">
        <is>
          <t>✗ ناموجود</t>
        </is>
      </c>
      <c r="I78" s="26" t="inlineStr">
        <is>
          <t>شستشو و نظافت</t>
        </is>
      </c>
      <c r="J78" s="26" t="inlineStr">
        <is>
          <t>شستشو و نظافت هیتاچی</t>
        </is>
      </c>
      <c r="K78" s="26" t="inlineStr">
        <is>
          <t>هیتاچی</t>
        </is>
      </c>
      <c r="L78" s="26" t="inlineStr">
        <is>
          <t>ساده</t>
        </is>
      </c>
      <c r="M78" s="26" t="n"/>
      <c r="N78" s="26" t="n"/>
      <c r="O78" s="26" t="n"/>
      <c r="P78" s="33" t="n"/>
      <c r="Q78" s="26" t="n"/>
      <c r="R78" s="26" t="inlineStr">
        <is>
          <t>فعلا دست نگه دار</t>
        </is>
      </c>
    </row>
    <row r="79" ht="21.95" customHeight="1" s="38">
      <c r="A79" s="39" t="inlineStr">
        <is>
          <t xml:space="preserve">  📂 شستشو و نظافت  ◀  پاناسونیک</t>
        </is>
      </c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1" t="n"/>
    </row>
    <row r="80" ht="21" customHeight="1" s="38">
      <c r="A80" s="15" t="inlineStr">
        <is>
          <t>جاروبرقی پاناسونیک مدل MC-CG715</t>
        </is>
      </c>
      <c r="B80" s="16" t="n"/>
      <c r="C80" s="16">
        <f>IF(OR(B80="",B80=0),"",B80/10)</f>
        <v/>
      </c>
      <c r="D80" s="16" t="n"/>
      <c r="E80" s="42">
        <f>IF(ISNUMBER(D80),(B80-D80)/D80,"")</f>
        <v/>
      </c>
      <c r="F80" s="16" t="n"/>
      <c r="G80" s="16">
        <f>IF(OR(F80="",F80=0),"",F80/10)</f>
        <v/>
      </c>
      <c r="H80" s="18" t="inlineStr">
        <is>
          <t>✓ موجود</t>
        </is>
      </c>
      <c r="I80" s="18" t="inlineStr">
        <is>
          <t>شستشو و نظافت</t>
        </is>
      </c>
      <c r="J80" s="18" t="inlineStr">
        <is>
          <t>شستشو و نظافت پاناسونیک</t>
        </is>
      </c>
      <c r="K80" s="18" t="inlineStr">
        <is>
          <t>پاناسونیک</t>
        </is>
      </c>
      <c r="L80" s="18" t="inlineStr">
        <is>
          <t>متغیر</t>
        </is>
      </c>
      <c r="M80" s="18" t="inlineStr">
        <is>
          <t>شامل 1 تنوع</t>
        </is>
      </c>
      <c r="N80" s="18" t="inlineStr">
        <is>
          <t>2661</t>
        </is>
      </c>
      <c r="O80" s="18" t="n"/>
      <c r="P80" s="31" t="inlineStr">
        <is>
          <t>https://hosseinykala.ir/?p=2661</t>
        </is>
      </c>
      <c r="Q80" s="18" t="n"/>
      <c r="R80" s="18" t="inlineStr">
        <is>
          <t>ثبت‌شده در سایت</t>
        </is>
      </c>
    </row>
    <row r="81" ht="18.95" customHeight="1" s="38">
      <c r="A81" s="19" t="inlineStr">
        <is>
          <t>↳ رنگ: سفید</t>
        </is>
      </c>
      <c r="B81" s="20" t="n">
        <v>416000000</v>
      </c>
      <c r="C81" s="20">
        <f>IF(OR(ISBLANK(B81),B81=""),"",IF($L81="متغیر","⚠️ والد متغیر نباید قیمت داشته باشد",B81/10))</f>
        <v/>
      </c>
      <c r="D81" s="20" t="n">
        <v>416000000</v>
      </c>
      <c r="E81" s="43">
        <f>IF(OR(ISBLANK(B81),B81="",ISBLANK(D81),D81="",D81&lt;=0,$L81="متغیر"),"",(B81-D81)/D81)</f>
        <v/>
      </c>
      <c r="F81" s="20" t="n">
        <v>395200000</v>
      </c>
      <c r="G81" s="20">
        <f>IF(OR(ISBLANK(F81),F81=""),"",IF($L81="متغیر","",F81/10))</f>
        <v/>
      </c>
      <c r="H81" s="22" t="inlineStr">
        <is>
          <t>✓ موجود</t>
        </is>
      </c>
      <c r="I81" s="22" t="inlineStr">
        <is>
          <t>شستشو و نظافت</t>
        </is>
      </c>
      <c r="J81" s="22" t="inlineStr">
        <is>
          <t>شستشو و نظافت پاناسونیک</t>
        </is>
      </c>
      <c r="K81" s="22" t="inlineStr">
        <is>
          <t>پاناسونیک</t>
        </is>
      </c>
      <c r="L81" s="22" t="inlineStr">
        <is>
          <t>تنوع</t>
        </is>
      </c>
      <c r="M81" s="22" t="inlineStr">
        <is>
          <t>رنگ: سفید</t>
        </is>
      </c>
      <c r="N81" s="22" t="inlineStr">
        <is>
          <t>2661</t>
        </is>
      </c>
      <c r="O81" s="22" t="n">
        <v>2679</v>
      </c>
      <c r="P81" s="32" t="inlineStr">
        <is>
          <t>https://hosseinykala.ir/?p=2661</t>
        </is>
      </c>
      <c r="Q81" s="22" t="n"/>
      <c r="R81" s="22" t="inlineStr">
        <is>
          <t>ثبت‌شده در سایت</t>
        </is>
      </c>
    </row>
    <row r="82" ht="21" customHeight="1" s="38">
      <c r="A82" s="23" t="inlineStr">
        <is>
          <t>اتو بخار پاناسونیک مدل 650</t>
        </is>
      </c>
      <c r="B82" s="24" t="n">
        <v>2300000000</v>
      </c>
      <c r="C82" s="24">
        <f>IF(OR(ISBLANK(B82),B82=""),"",IF($L82="متغیر","⚠️ والد متغیر نباید قیمت داشته باشد",B82/10))</f>
        <v/>
      </c>
      <c r="D82" s="24" t="n">
        <v>2300000000</v>
      </c>
      <c r="E82" s="44">
        <f>IF(OR(ISBLANK(B82),B82="",ISBLANK(D82),D82="",D82&lt;=0,$L82="متغیر"),"",(B82-D82)/D82)</f>
        <v/>
      </c>
      <c r="F82" s="24" t="n">
        <v>2185000000</v>
      </c>
      <c r="G82" s="24">
        <f>IF(OR(ISBLANK(F82),F82=""),"",IF($L82="متغیر","",F82/10))</f>
        <v/>
      </c>
      <c r="H82" s="26" t="inlineStr">
        <is>
          <t>✓ موجود</t>
        </is>
      </c>
      <c r="I82" s="26" t="inlineStr">
        <is>
          <t>شستشو و نظافت</t>
        </is>
      </c>
      <c r="J82" s="26" t="inlineStr">
        <is>
          <t>شستشو و نظافت پاناسونیک</t>
        </is>
      </c>
      <c r="K82" s="26" t="inlineStr">
        <is>
          <t>پاناسونیک</t>
        </is>
      </c>
      <c r="L82" s="26" t="inlineStr">
        <is>
          <t>ساده</t>
        </is>
      </c>
      <c r="M82" s="26" t="n"/>
      <c r="N82" s="26" t="n">
        <v>4270</v>
      </c>
      <c r="O82" s="26" t="n"/>
      <c r="P82" s="33" t="inlineStr">
        <is>
          <t>https://hosseinykala.ir/product/panasonic-ni-w650t-steam-iron/</t>
        </is>
      </c>
      <c r="Q82" s="26" t="n"/>
      <c r="R82" s="26" t="inlineStr">
        <is>
          <t>ثبت‌شده در سایت</t>
        </is>
      </c>
    </row>
    <row r="83" ht="21.95" customHeight="1" s="38">
      <c r="A83" s="39" t="inlineStr">
        <is>
          <t xml:space="preserve">  📂 شستشو و نظافت  ◀  پاندا</t>
        </is>
      </c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1" t="n"/>
    </row>
    <row r="84" ht="21" customHeight="1" s="38">
      <c r="A84" s="23" t="inlineStr">
        <is>
          <t>جاروبرقی سطلی صنعتی آب و خاک پاندا 80 لیتر</t>
        </is>
      </c>
      <c r="B84" s="24" t="n">
        <v>550000000</v>
      </c>
      <c r="C84" s="24">
        <f>IF(OR(ISBLANK(B84),B84=""),"",IF($L84="متغیر","⚠️ والد متغیر نباید قیمت داشته باشد",B84/10))</f>
        <v/>
      </c>
      <c r="D84" s="24" t="n">
        <v>550000000</v>
      </c>
      <c r="E84" s="44">
        <f>IF(OR(ISBLANK(B84),B84="",ISBLANK(D84),D84="",D84&lt;=0,$L84="متغیر"),"",(B84-D84)/D84)</f>
        <v/>
      </c>
      <c r="F84" s="24" t="n">
        <v>522500000</v>
      </c>
      <c r="G84" s="24">
        <f>IF(OR(ISBLANK(F84),F84=""),"",IF($L84="متغیر","",F84/10))</f>
        <v/>
      </c>
      <c r="H84" s="26" t="inlineStr">
        <is>
          <t>✓ موجود</t>
        </is>
      </c>
      <c r="I84" s="26" t="inlineStr">
        <is>
          <t>شستشو و نظافت</t>
        </is>
      </c>
      <c r="J84" s="26" t="inlineStr">
        <is>
          <t>شستشو و نظافت پاندا</t>
        </is>
      </c>
      <c r="K84" s="26" t="inlineStr">
        <is>
          <t>پاندا</t>
        </is>
      </c>
      <c r="L84" s="26" t="inlineStr">
        <is>
          <t>ساده</t>
        </is>
      </c>
      <c r="M84" s="26" t="n"/>
      <c r="N84" s="26" t="inlineStr">
        <is>
          <t>4065</t>
        </is>
      </c>
      <c r="O84" s="26" t="n"/>
      <c r="P84" s="33" t="inlineStr">
        <is>
          <t>https://hosseinykala.ir/product/panda-80l-wet-dry-industrial-vacuum-cleaner/</t>
        </is>
      </c>
      <c r="Q84" s="26" t="n"/>
      <c r="R84" s="26" t="inlineStr">
        <is>
          <t>ثبت‌شده در سایت</t>
        </is>
      </c>
    </row>
    <row r="85" ht="21.95" customHeight="1" s="38">
      <c r="A85" s="39" t="inlineStr">
        <is>
          <t xml:space="preserve">  📂 شستشو و نظافت  ◀  پاکیزان</t>
        </is>
      </c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1" t="n"/>
    </row>
    <row r="86" ht="21" customHeight="1" s="38">
      <c r="A86" s="15" t="inlineStr">
        <is>
          <t>پتوشور صنعتی و خانگی پاکیزان</t>
        </is>
      </c>
      <c r="B86" s="16" t="n"/>
      <c r="C86" s="16">
        <f>IF(OR(B86="",B86=0),"",B86/10)</f>
        <v/>
      </c>
      <c r="D86" s="16" t="n"/>
      <c r="E86" s="42">
        <f>IF(ISNUMBER(D86),(B86-D86)/D86,"")</f>
        <v/>
      </c>
      <c r="F86" s="16" t="n"/>
      <c r="G86" s="16">
        <f>IF(OR(F86="",F86=0),"",F86/10)</f>
        <v/>
      </c>
      <c r="H86" s="18" t="inlineStr">
        <is>
          <t>✓ موجود</t>
        </is>
      </c>
      <c r="I86" s="18" t="inlineStr">
        <is>
          <t>شستشو و نظافت</t>
        </is>
      </c>
      <c r="J86" s="18" t="inlineStr">
        <is>
          <t>شستشو و نظافت پاکیزان</t>
        </is>
      </c>
      <c r="K86" s="18" t="inlineStr">
        <is>
          <t>پاکیزان</t>
        </is>
      </c>
      <c r="L86" s="18" t="inlineStr">
        <is>
          <t>متغیر</t>
        </is>
      </c>
      <c r="M86" s="18" t="inlineStr">
        <is>
          <t>شامل 2 تنوع</t>
        </is>
      </c>
      <c r="N86" s="18" t="inlineStr">
        <is>
          <t>4068</t>
        </is>
      </c>
      <c r="O86" s="18" t="n"/>
      <c r="P86" s="31" t="inlineStr">
        <is>
          <t>https://hosseinykala.ir/product/pakizan-heavy-duty-blanket-washer/</t>
        </is>
      </c>
      <c r="Q86" s="18" t="n"/>
      <c r="R86" s="18" t="inlineStr">
        <is>
          <t>ثبت‌شده در سایت</t>
        </is>
      </c>
    </row>
    <row r="87" ht="18.95" customHeight="1" s="38">
      <c r="A87" s="19" t="inlineStr">
        <is>
          <t>↳ ظرفیت: 30 کیلوگرم</t>
        </is>
      </c>
      <c r="B87" s="20" t="n">
        <v>280000000</v>
      </c>
      <c r="C87" s="20">
        <f>IF(OR(ISBLANK(B87),B87=""),"",IF($L87="متغیر","⚠️ والد متغیر نباید قیمت داشته باشد",B87/10))</f>
        <v/>
      </c>
      <c r="D87" s="20" t="n">
        <v>280000000</v>
      </c>
      <c r="E87" s="43">
        <f>IF(OR(ISBLANK(B87),B87="",ISBLANK(D87),D87="",D87&lt;=0,$L87="متغیر"),"",(B87-D87)/D87)</f>
        <v/>
      </c>
      <c r="F87" s="20" t="n">
        <v>266000000</v>
      </c>
      <c r="G87" s="20">
        <f>IF(OR(ISBLANK(F87),F87=""),"",IF($L87="متغیر","",F87/10))</f>
        <v/>
      </c>
      <c r="H87" s="22" t="inlineStr">
        <is>
          <t>✓ موجود</t>
        </is>
      </c>
      <c r="I87" s="22" t="inlineStr">
        <is>
          <t>شستشو و نظافت</t>
        </is>
      </c>
      <c r="J87" s="22" t="inlineStr">
        <is>
          <t>شستشو و نظافت پاکیزان</t>
        </is>
      </c>
      <c r="K87" s="22" t="inlineStr">
        <is>
          <t>پاکیزان</t>
        </is>
      </c>
      <c r="L87" s="22" t="inlineStr">
        <is>
          <t>تنوع</t>
        </is>
      </c>
      <c r="M87" s="22" t="inlineStr">
        <is>
          <t>ظرفیت: 30 کیلوگرم</t>
        </is>
      </c>
      <c r="N87" s="22" t="inlineStr">
        <is>
          <t>4068</t>
        </is>
      </c>
      <c r="O87" s="22" t="n">
        <v>4069</v>
      </c>
      <c r="P87" s="32" t="inlineStr">
        <is>
          <t>https://hosseinykala.ir/product/pakizan-heavy-duty-blanket-washer/</t>
        </is>
      </c>
      <c r="Q87" s="22" t="n"/>
      <c r="R87" s="22" t="inlineStr">
        <is>
          <t>ثبت‌شده در سایت</t>
        </is>
      </c>
    </row>
    <row r="88" ht="18.95" customHeight="1" s="38">
      <c r="A88" s="19" t="inlineStr">
        <is>
          <t>↳ ظرفیت: 40 کیلوگرم</t>
        </is>
      </c>
      <c r="B88" s="20" t="n">
        <v>280000000</v>
      </c>
      <c r="C88" s="20">
        <f>IF(OR(ISBLANK(B88),B88=""),"",IF($L88="متغیر","⚠️ والد متغیر نباید قیمت داشته باشد",B88/10))</f>
        <v/>
      </c>
      <c r="D88" s="20" t="n">
        <v>280000000</v>
      </c>
      <c r="E88" s="43">
        <f>IF(OR(ISBLANK(B88),B88="",ISBLANK(D88),D88="",D88&lt;=0,$L88="متغیر"),"",(B88-D88)/D88)</f>
        <v/>
      </c>
      <c r="F88" s="20" t="n">
        <v>266000000</v>
      </c>
      <c r="G88" s="20">
        <f>IF(OR(ISBLANK(F88),F88=""),"",IF($L88="متغیر","",F88/10))</f>
        <v/>
      </c>
      <c r="H88" s="22" t="inlineStr">
        <is>
          <t>✓ موجود</t>
        </is>
      </c>
      <c r="I88" s="22" t="inlineStr">
        <is>
          <t>شستشو و نظافت</t>
        </is>
      </c>
      <c r="J88" s="22" t="inlineStr">
        <is>
          <t>شستشو و نظافت پاکیزان</t>
        </is>
      </c>
      <c r="K88" s="22" t="inlineStr">
        <is>
          <t>پاکیزان</t>
        </is>
      </c>
      <c r="L88" s="22" t="inlineStr">
        <is>
          <t>تنوع</t>
        </is>
      </c>
      <c r="M88" s="22" t="inlineStr">
        <is>
          <t>ظرفیت: 40 کیلوگرم</t>
        </is>
      </c>
      <c r="N88" s="22" t="inlineStr">
        <is>
          <t>4068</t>
        </is>
      </c>
      <c r="O88" s="22" t="n">
        <v>4070</v>
      </c>
      <c r="P88" s="32" t="inlineStr">
        <is>
          <t>https://hosseinykala.ir/product/pakizan-heavy-duty-blanket-washer/</t>
        </is>
      </c>
      <c r="Q88" s="22" t="n"/>
      <c r="R88" s="22" t="inlineStr">
        <is>
          <t>ثبت‌شده در سایت</t>
        </is>
      </c>
    </row>
    <row r="89" ht="21" customHeight="1" s="38">
      <c r="A89" s="23" t="inlineStr">
        <is>
          <t>پتوشور صنعتی و خانگی کد 40 تمام استیل پاکیزان</t>
        </is>
      </c>
      <c r="B89" s="24" t="n">
        <v>280000000</v>
      </c>
      <c r="C89" s="24">
        <f>IF(OR(ISBLANK(B89),B89=""),"",IF($L89="متغیر","⚠️ والد متغیر نباید قیمت داشته باشد",B89/10))</f>
        <v/>
      </c>
      <c r="D89" s="24" t="n">
        <v>280000000</v>
      </c>
      <c r="E89" s="44">
        <f>IF(OR(ISBLANK(B89),B89="",ISBLANK(D89),D89="",D89&lt;=0,$L89="متغیر"),"",(B89-D89)/D89)</f>
        <v/>
      </c>
      <c r="F89" s="24" t="n">
        <v>266000000</v>
      </c>
      <c r="G89" s="24">
        <f>IF(OR(ISBLANK(F89),F89=""),"",IF($L89="متغیر","",F89/10))</f>
        <v/>
      </c>
      <c r="H89" s="26" t="inlineStr">
        <is>
          <t>✓ موجود</t>
        </is>
      </c>
      <c r="I89" s="26" t="inlineStr">
        <is>
          <t>شستشو و نظافت</t>
        </is>
      </c>
      <c r="J89" s="26" t="inlineStr">
        <is>
          <t>شستشو و نظافت پاکیزان</t>
        </is>
      </c>
      <c r="K89" s="26" t="inlineStr">
        <is>
          <t>پاکیزان</t>
        </is>
      </c>
      <c r="L89" s="26" t="inlineStr">
        <is>
          <t>ساده</t>
        </is>
      </c>
      <c r="M89" s="26" t="n"/>
      <c r="N89" s="26" t="inlineStr">
        <is>
          <t>3709</t>
        </is>
      </c>
      <c r="O89" s="26" t="n"/>
      <c r="P89" s="33" t="inlineStr">
        <is>
          <t>https://hosseinykala.ir/?p=3709</t>
        </is>
      </c>
      <c r="Q89" s="26" t="n"/>
      <c r="R89" s="26" t="inlineStr">
        <is>
          <t>ثبت‌شده در سایت</t>
        </is>
      </c>
    </row>
    <row r="90" ht="21.95" customHeight="1" s="38">
      <c r="A90" s="39" t="inlineStr">
        <is>
          <t xml:space="preserve">  📂 شستشو و نظافت  ◀  جنرال فیت</t>
        </is>
      </c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1" t="n"/>
    </row>
    <row r="91" ht="21" customHeight="1" s="38">
      <c r="A91" s="23" t="inlineStr">
        <is>
          <t>جاروبرقی سطلی جنرال فیت مدل اسکای پلاس 4500</t>
        </is>
      </c>
      <c r="B91" s="24" t="n">
        <v>370000000</v>
      </c>
      <c r="C91" s="24">
        <f>IF(OR(ISBLANK(B91),B91=""),"",IF($L91="متغیر","⚠️ والد متغیر نباید قیمت داشته باشد",B91/10))</f>
        <v/>
      </c>
      <c r="D91" s="24" t="n">
        <v>370000000</v>
      </c>
      <c r="E91" s="44">
        <f>IF(OR(ISBLANK(B91),B91="",ISBLANK(D91),D91="",D91&lt;=0,$L91="متغیر"),"",(B91-D91)/D91)</f>
        <v/>
      </c>
      <c r="F91" s="24" t="n">
        <v>351500000</v>
      </c>
      <c r="G91" s="24">
        <f>IF(OR(ISBLANK(F91),F91=""),"",IF($L91="متغیر","",F91/10))</f>
        <v/>
      </c>
      <c r="H91" s="26" t="inlineStr">
        <is>
          <t>✓ موجود</t>
        </is>
      </c>
      <c r="I91" s="26" t="inlineStr">
        <is>
          <t>شستشو و نظافت</t>
        </is>
      </c>
      <c r="J91" s="26" t="inlineStr">
        <is>
          <t>شستشو و نظافت جنرال فیت</t>
        </is>
      </c>
      <c r="K91" s="26" t="inlineStr">
        <is>
          <t>جنرال فیت</t>
        </is>
      </c>
      <c r="L91" s="26" t="inlineStr">
        <is>
          <t>ساده</t>
        </is>
      </c>
      <c r="M91" s="26" t="n"/>
      <c r="N91" s="26" t="n">
        <v>4272</v>
      </c>
      <c r="O91" s="26" t="n"/>
      <c r="P91" s="33" t="inlineStr">
        <is>
          <t>https://hosseinykala.ir/product/generalfit-sky-plus-4500-canister-vacuum-cleaner/</t>
        </is>
      </c>
      <c r="Q91" s="26" t="n"/>
      <c r="R91" s="26" t="inlineStr">
        <is>
          <t>ثبت‌شده در سایت</t>
        </is>
      </c>
    </row>
    <row r="92" ht="21" customHeight="1" s="38">
      <c r="A92" s="23" t="inlineStr">
        <is>
          <t>جاروبرقی سطلی جنرال فیت مدل پرستو 5300</t>
        </is>
      </c>
      <c r="B92" s="24" t="n"/>
      <c r="C92" s="24">
        <f>IF(OR(ISBLANK(B92),B92=""),"",IF($L92="متغیر","⚠️ والد متغیر نباید قیمت داشته باشد",B92/10))</f>
        <v/>
      </c>
      <c r="D92" s="24" t="n"/>
      <c r="E92" s="44">
        <f>IF(OR(ISBLANK(B92),B92="",ISBLANK(D92),D92="",D92&lt;=0,$L92="متغیر"),"",(B92-D92)/D92)</f>
        <v/>
      </c>
      <c r="F92" s="24" t="n"/>
      <c r="G92" s="24">
        <f>IF(OR(ISBLANK(F92),F92=""),"",IF($L92="متغیر","",F92/10))</f>
        <v/>
      </c>
      <c r="H92" s="26" t="inlineStr">
        <is>
          <t>✗ ناموجود</t>
        </is>
      </c>
      <c r="I92" s="26" t="inlineStr">
        <is>
          <t>شستشو و نظافت</t>
        </is>
      </c>
      <c r="J92" s="26" t="inlineStr">
        <is>
          <t>شستشو و نظافت جنرال فیت</t>
        </is>
      </c>
      <c r="K92" s="26" t="inlineStr">
        <is>
          <t>جنرال فیت</t>
        </is>
      </c>
      <c r="L92" s="26" t="inlineStr">
        <is>
          <t>ساده</t>
        </is>
      </c>
      <c r="M92" s="26" t="n"/>
      <c r="N92" s="26" t="n">
        <v>4274</v>
      </c>
      <c r="O92" s="26" t="n"/>
      <c r="P92" s="33" t="inlineStr">
        <is>
          <t>https://hosseinykala.ir/product/generalfit-parastoo-5300-canister-vacuum-cleaner/</t>
        </is>
      </c>
      <c r="Q92" s="26" t="n"/>
      <c r="R92" s="26" t="inlineStr">
        <is>
          <t>ثبت‌شده در سایت</t>
        </is>
      </c>
    </row>
    <row r="93" ht="21" customHeight="1" s="38">
      <c r="A93" s="23" t="inlineStr">
        <is>
          <t>جاروبرقی سطلی جنرال فیت مدل پروانه 5500</t>
        </is>
      </c>
      <c r="B93" s="24" t="n"/>
      <c r="C93" s="24">
        <f>IF(OR(ISBLANK(B93),B93=""),"",IF($L93="متغیر","⚠️ والد متغیر نباید قیمت داشته باشد",B93/10))</f>
        <v/>
      </c>
      <c r="D93" s="24" t="n"/>
      <c r="E93" s="44">
        <f>IF(OR(ISBLANK(B93),B93="",ISBLANK(D93),D93="",D93&lt;=0,$L93="متغیر"),"",(B93-D93)/D93)</f>
        <v/>
      </c>
      <c r="F93" s="24" t="n"/>
      <c r="G93" s="24">
        <f>IF(OR(ISBLANK(F93),F93=""),"",IF($L93="متغیر","",F93/10))</f>
        <v/>
      </c>
      <c r="H93" s="26" t="inlineStr">
        <is>
          <t>✗ ناموجود</t>
        </is>
      </c>
      <c r="I93" s="26" t="inlineStr">
        <is>
          <t>شستشو و نظافت</t>
        </is>
      </c>
      <c r="J93" s="26" t="inlineStr">
        <is>
          <t>شستشو و نظافت جنرال فیت</t>
        </is>
      </c>
      <c r="K93" s="26" t="inlineStr">
        <is>
          <t>جنرال فیت</t>
        </is>
      </c>
      <c r="L93" s="26" t="inlineStr">
        <is>
          <t>ساده</t>
        </is>
      </c>
      <c r="M93" s="26" t="n"/>
      <c r="N93" s="26" t="n">
        <v>4276</v>
      </c>
      <c r="O93" s="26" t="n"/>
      <c r="P93" s="33" t="inlineStr">
        <is>
          <t>https://hosseinykala.ir/product/generalfit-parvaneh-5500-canister-vacuum-cleaner/</t>
        </is>
      </c>
      <c r="Q93" s="26" t="n"/>
      <c r="R93" s="26" t="inlineStr">
        <is>
          <t>ثبت‌شده در سایت</t>
        </is>
      </c>
    </row>
    <row r="94" ht="21" customHeight="1" s="38">
      <c r="A94" s="23" t="inlineStr">
        <is>
          <t>جاروبرقی سطلی جنرال فیت مدل تاچ استار 4800</t>
        </is>
      </c>
      <c r="B94" s="24" t="n">
        <v>420000000</v>
      </c>
      <c r="C94" s="24">
        <f>IF(OR(ISBLANK(B94),B94=""),"",IF($L94="متغیر","⚠️ والد متغیر نباید قیمت داشته باشد",B94/10))</f>
        <v/>
      </c>
      <c r="D94" s="24" t="n">
        <v>420000000</v>
      </c>
      <c r="E94" s="44">
        <f>IF(OR(ISBLANK(B94),B94="",ISBLANK(D94),D94="",D94&lt;=0,$L94="متغیر"),"",(B94-D94)/D94)</f>
        <v/>
      </c>
      <c r="F94" s="24" t="n">
        <v>399000000</v>
      </c>
      <c r="G94" s="24">
        <f>IF(OR(ISBLANK(F94),F94=""),"",IF($L94="متغیر","",F94/10))</f>
        <v/>
      </c>
      <c r="H94" s="26" t="inlineStr">
        <is>
          <t>✓ موجود</t>
        </is>
      </c>
      <c r="I94" s="26" t="inlineStr">
        <is>
          <t>شستشو و نظافت</t>
        </is>
      </c>
      <c r="J94" s="26" t="inlineStr">
        <is>
          <t>شستشو و نظافت جنرال فیت</t>
        </is>
      </c>
      <c r="K94" s="26" t="inlineStr">
        <is>
          <t>جنرال فیت</t>
        </is>
      </c>
      <c r="L94" s="26" t="inlineStr">
        <is>
          <t>ساده</t>
        </is>
      </c>
      <c r="M94" s="26" t="n"/>
      <c r="N94" s="26" t="n">
        <v>4278</v>
      </c>
      <c r="O94" s="26" t="n"/>
      <c r="P94" s="33" t="inlineStr">
        <is>
          <t>https://hosseinykala.ir/product/generalfit-touch-star-4800-canister-vacuum-cleaner/</t>
        </is>
      </c>
      <c r="Q94" s="26" t="n"/>
      <c r="R94" s="26" t="inlineStr">
        <is>
          <t>ثبت‌شده در سایت</t>
        </is>
      </c>
    </row>
    <row r="95" ht="21" customHeight="1" s="38">
      <c r="A95" s="23" t="inlineStr">
        <is>
          <t>جاروبرقی سطلی جنرال فیت مدل کیوتی 4300</t>
        </is>
      </c>
      <c r="B95" s="24" t="n">
        <v>220000000</v>
      </c>
      <c r="C95" s="24">
        <f>IF(OR(ISBLANK(B95),B95=""),"",IF($L95="متغیر","⚠️ والد متغیر نباید قیمت داشته باشد",B95/10))</f>
        <v/>
      </c>
      <c r="D95" s="24" t="n">
        <v>220000000</v>
      </c>
      <c r="E95" s="44">
        <f>IF(OR(ISBLANK(B95),B95="",ISBLANK(D95),D95="",D95&lt;=0,$L95="متغیر"),"",(B95-D95)/D95)</f>
        <v/>
      </c>
      <c r="F95" s="24" t="n">
        <v>209000000</v>
      </c>
      <c r="G95" s="24">
        <f>IF(OR(ISBLANK(F95),F95=""),"",IF($L95="متغیر","",F95/10))</f>
        <v/>
      </c>
      <c r="H95" s="26" t="inlineStr">
        <is>
          <t>✓ موجود</t>
        </is>
      </c>
      <c r="I95" s="26" t="inlineStr">
        <is>
          <t>شستشو و نظافت</t>
        </is>
      </c>
      <c r="J95" s="26" t="inlineStr">
        <is>
          <t>شستشو و نظافت جنرال فیت</t>
        </is>
      </c>
      <c r="K95" s="26" t="inlineStr">
        <is>
          <t>جنرال فیت</t>
        </is>
      </c>
      <c r="L95" s="26" t="inlineStr">
        <is>
          <t>ساده</t>
        </is>
      </c>
      <c r="M95" s="26" t="n"/>
      <c r="N95" s="26" t="n">
        <v>4280</v>
      </c>
      <c r="O95" s="26" t="n"/>
      <c r="P95" s="33" t="inlineStr">
        <is>
          <t>https://hosseinykala.ir/product/generalfit-cutie-4300-canister-vacuum-cleaner/</t>
        </is>
      </c>
      <c r="Q95" s="26" t="n"/>
      <c r="R95" s="26" t="inlineStr">
        <is>
          <t>ثبت‌شده در سایت</t>
        </is>
      </c>
    </row>
    <row r="96" ht="21.95" customHeight="1" s="38">
      <c r="A96" s="39" t="inlineStr">
        <is>
          <t xml:space="preserve">  📂 شستشو و نظافت  ◀  باخ</t>
        </is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1" t="n"/>
    </row>
    <row r="97" ht="21" customHeight="1" s="38">
      <c r="A97" s="23" t="inlineStr">
        <is>
          <t>جارو شارژی باخ مدل 1454</t>
        </is>
      </c>
      <c r="B97" s="24" t="n">
        <v>650000000</v>
      </c>
      <c r="C97" s="24">
        <f>IF(OR(ISBLANK(B97),B97=""),"",IF($L97="متغیر","⚠️ والد متغیر نباید قیمت داشته باشد",B97/10))</f>
        <v/>
      </c>
      <c r="D97" s="24" t="n">
        <v>650000000</v>
      </c>
      <c r="E97" s="44">
        <f>IF(OR(ISBLANK(B97),B97="",ISBLANK(D97),D97="",D97&lt;=0,$L97="متغیر"),"",(B97-D97)/D97)</f>
        <v/>
      </c>
      <c r="F97" s="24" t="n">
        <v>617500000</v>
      </c>
      <c r="G97" s="24">
        <f>IF(OR(ISBLANK(F97),F97=""),"",IF($L97="متغیر","",F97/10))</f>
        <v/>
      </c>
      <c r="H97" s="26" t="inlineStr">
        <is>
          <t>✓ موجود</t>
        </is>
      </c>
      <c r="I97" s="26" t="inlineStr">
        <is>
          <t>شستشو و نظافت</t>
        </is>
      </c>
      <c r="J97" s="26" t="inlineStr">
        <is>
          <t>شستشو و نظافت باخ</t>
        </is>
      </c>
      <c r="K97" s="26" t="inlineStr">
        <is>
          <t>باخ</t>
        </is>
      </c>
      <c r="L97" s="26" t="inlineStr">
        <is>
          <t>ساده</t>
        </is>
      </c>
      <c r="M97" s="26" t="n"/>
      <c r="N97" s="26" t="n">
        <v>4282</v>
      </c>
      <c r="O97" s="26" t="n"/>
      <c r="P97" s="33" t="inlineStr">
        <is>
          <t>https://hosseinykala.ir/product/bach-1454-foldable-cordless-stick-vacuum-cleaner/</t>
        </is>
      </c>
      <c r="Q97" s="26" t="n"/>
      <c r="R97" s="26" t="inlineStr">
        <is>
          <t>ثبت‌شده در سایت</t>
        </is>
      </c>
    </row>
    <row r="98" ht="21.95" customHeight="1" s="38">
      <c r="A98" s="39" t="inlineStr">
        <is>
          <t xml:space="preserve">  📂 شستشو و نظافت  ◀  متفرقه</t>
        </is>
      </c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1" t="n"/>
    </row>
    <row r="99" ht="21" customHeight="1" s="38">
      <c r="A99" s="23" t="inlineStr">
        <is>
          <t>بخارگر دستی چندکاره باخ مدل BUVCK-1266</t>
        </is>
      </c>
      <c r="B99" s="24" t="n">
        <v>160000000</v>
      </c>
      <c r="C99" s="24">
        <f>IF(OR(ISBLANK(B99),B99=""),"",IF($L99="متغیر","⚠️ والد متغیر نباید قیمت داشته باشد",B99/10))</f>
        <v/>
      </c>
      <c r="D99" s="24" t="n">
        <v>160000000</v>
      </c>
      <c r="E99" s="44">
        <f>IF(OR(ISBLANK(B99),B99="",ISBLANK(D99),D99="",D99&lt;=0,$L99="متغیر"),"",(B99-D99)/D99)</f>
        <v/>
      </c>
      <c r="F99" s="24" t="n">
        <v>152000000</v>
      </c>
      <c r="G99" s="24">
        <f>IF(OR(ISBLANK(F99),F99=""),"",IF($L99="متغیر","",F99/10))</f>
        <v/>
      </c>
      <c r="H99" s="26" t="inlineStr">
        <is>
          <t>✓ موجود</t>
        </is>
      </c>
      <c r="I99" s="26" t="inlineStr">
        <is>
          <t>شستشو و نظافت</t>
        </is>
      </c>
      <c r="J99" s="26" t="inlineStr">
        <is>
          <t>شستشو و نظافت باخ</t>
        </is>
      </c>
      <c r="K99" s="26" t="inlineStr">
        <is>
          <t>باخ</t>
        </is>
      </c>
      <c r="L99" s="26" t="inlineStr">
        <is>
          <t>ساده</t>
        </is>
      </c>
      <c r="M99" s="26" t="n"/>
      <c r="N99" s="26" t="n">
        <v>4284</v>
      </c>
      <c r="O99" s="26" t="n"/>
      <c r="P99" s="33" t="inlineStr">
        <is>
          <t>https://hosseinykala.ir/product/bach-buvck-1266-handheld-garment-steamer/</t>
        </is>
      </c>
      <c r="Q99" s="26" t="n"/>
      <c r="R99" s="26" t="inlineStr">
        <is>
          <t>ثبت‌شده در سایت</t>
        </is>
      </c>
    </row>
    <row r="100" ht="21" customHeight="1" s="38"/>
  </sheetData>
  <autoFilter ref="A1:R1"/>
  <mergeCells count="22">
    <mergeCell ref="A69:R69"/>
    <mergeCell ref="A65:R65"/>
    <mergeCell ref="A46:R46"/>
    <mergeCell ref="A90:R90"/>
    <mergeCell ref="A21:R21"/>
    <mergeCell ref="A55:R55"/>
    <mergeCell ref="A71:R71"/>
    <mergeCell ref="A2:R2"/>
    <mergeCell ref="A85:R85"/>
    <mergeCell ref="A17:R17"/>
    <mergeCell ref="A8:R8"/>
    <mergeCell ref="A96:R96"/>
    <mergeCell ref="A53:R53"/>
    <mergeCell ref="A29:R29"/>
    <mergeCell ref="A67:R67"/>
    <mergeCell ref="A58:R58"/>
    <mergeCell ref="A83:R83"/>
    <mergeCell ref="A48:R48"/>
    <mergeCell ref="A73:R73"/>
    <mergeCell ref="A98:R98"/>
    <mergeCell ref="A79:R79"/>
    <mergeCell ref="A61:R61"/>
  </mergeCells>
  <conditionalFormatting sqref="A2:R9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9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99">
    <cfRule type="expression" priority="6" dxfId="3" stopIfTrue="1">
      <formula>AND(ISNUMBER($B2), ISNUMBER($D2), $D2&gt;0, ABS(($B2-$D2)/$D2)&gt;=0.5, $L2&lt;&gt;"متغیر")</formula>
    </cfRule>
  </conditionalFormatting>
  <conditionalFormatting sqref="F2:F99">
    <cfRule type="expression" priority="4" dxfId="2" stopIfTrue="1">
      <formula>AND($L2="متغیر", OR(ISNUMBER(B2), ISNUMBER(F2)))</formula>
    </cfRule>
  </conditionalFormatting>
  <conditionalFormatting sqref="H2:H9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9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9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rightToLeft="1" workbookViewId="0">
      <pane ySplit="1" topLeftCell="A92" activePane="bottomLeft" state="frozen"/>
      <selection pane="bottomLeft" activeCell="B103" sqref="B103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لوازم برقی و پخت و پز  ◀  وگاترونیکس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آون توستر ۶۰ لیتری وگاترونیکس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لوازم برقی و پخت و پز</t>
        </is>
      </c>
      <c r="J3" s="26" t="inlineStr">
        <is>
          <t>لوازم برقی و پخت و پز وگاترونیکس</t>
        </is>
      </c>
      <c r="K3" s="26" t="inlineStr">
        <is>
          <t>وگاترونیکس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.95" customHeight="1" s="38">
      <c r="A4" s="39" t="inlineStr">
        <is>
          <t xml:space="preserve">  📂 لوازم برقی و پخت و پز  ◀  الکترواستیل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فر الکترواستیل تیتانیوم 11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لوازم برقی و پخت و پز</t>
        </is>
      </c>
      <c r="J5" s="26" t="inlineStr">
        <is>
          <t>لوازم برقی و پخت و پز الکترواستیل</t>
        </is>
      </c>
      <c r="K5" s="26" t="inlineStr">
        <is>
          <t>الکترواستیل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لوازم برقی و پخت و پز  ◀  اویز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شیرجوش ۱۴ سانتی‌متر اویزپلاس مشکی</t>
        </is>
      </c>
      <c r="B7" s="24" t="n">
        <v>27300000</v>
      </c>
      <c r="C7" s="24">
        <f>IF(OR(ISBLANK(B7),B7=""),"",IF($L7="متغیر","⚠️ والد متغیر نباید قیمت داشته باشد",B7/10))</f>
        <v/>
      </c>
      <c r="D7" s="24" t="n">
        <v>27300000</v>
      </c>
      <c r="E7" s="44">
        <f>IF(OR(ISBLANK(B7),B7="",ISBLANK(D7),D7="",D7&lt;=0,$L7="متغیر"),"",(B7-D7)/D7)</f>
        <v/>
      </c>
      <c r="F7" s="24" t="n">
        <v>25935000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لوازم برقی و پخت و پز</t>
        </is>
      </c>
      <c r="J7" s="26" t="inlineStr">
        <is>
          <t>لوازم برقی و پخت و پز اویز</t>
        </is>
      </c>
      <c r="K7" s="26" t="inlineStr">
        <is>
          <t>اویز</t>
        </is>
      </c>
      <c r="L7" s="26" t="inlineStr">
        <is>
          <t>ساده</t>
        </is>
      </c>
      <c r="M7" s="26" t="n"/>
      <c r="N7" s="26" t="inlineStr">
        <is>
          <t>3612</t>
        </is>
      </c>
      <c r="O7" s="26" t="n"/>
      <c r="P7" s="33" t="inlineStr">
        <is>
          <t>https://hosseinykala.ir/?p=3612</t>
        </is>
      </c>
      <c r="Q7" s="26" t="n"/>
      <c r="R7" s="26" t="inlineStr">
        <is>
          <t>ثبت‌شده در سایت</t>
        </is>
      </c>
    </row>
    <row r="8" ht="21" customHeight="1" s="38">
      <c r="A8" s="23" t="inlineStr">
        <is>
          <t>سرویس قابلمه ۱۲ پارچه گرانیتی اویزپلاس مدل مشکی رزگلد</t>
        </is>
      </c>
      <c r="B8" s="24" t="n">
        <v>385000000</v>
      </c>
      <c r="C8" s="24">
        <f>IF(OR(ISBLANK(B8),B8=""),"",IF($L8="متغیر","⚠️ والد متغیر نباید قیمت داشته باشد",B8/10))</f>
        <v/>
      </c>
      <c r="D8" s="24" t="n">
        <v>385000000</v>
      </c>
      <c r="E8" s="44">
        <f>IF(OR(ISBLANK(B8),B8="",ISBLANK(D8),D8="",D8&lt;=0,$L8="متغیر"),"",(B8-D8)/D8)</f>
        <v/>
      </c>
      <c r="F8" s="24" t="n">
        <v>365750000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لوازم برقی و پخت و پز</t>
        </is>
      </c>
      <c r="J8" s="26" t="inlineStr">
        <is>
          <t>لوازم برقی و پخت و پز اویز</t>
        </is>
      </c>
      <c r="K8" s="26" t="inlineStr">
        <is>
          <t>اویز</t>
        </is>
      </c>
      <c r="L8" s="26" t="inlineStr">
        <is>
          <t>ساده</t>
        </is>
      </c>
      <c r="M8" s="26" t="n"/>
      <c r="N8" s="26" t="inlineStr">
        <is>
          <t>3610</t>
        </is>
      </c>
      <c r="O8" s="26" t="n"/>
      <c r="P8" s="33" t="inlineStr">
        <is>
          <t>https://hosseinykala.ir/?p=3610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سرویس قابلمه ۲۴ پارچه گرانیتی اویزپلاس مدل سبز لایف</t>
        </is>
      </c>
      <c r="B9" s="24" t="n">
        <v>590000000</v>
      </c>
      <c r="C9" s="24">
        <f>IF(OR(ISBLANK(B9),B9=""),"",IF($L9="متغیر","⚠️ والد متغیر نباید قیمت داشته باشد",B9/10))</f>
        <v/>
      </c>
      <c r="D9" s="24" t="n">
        <v>590000000</v>
      </c>
      <c r="E9" s="44">
        <f>IF(OR(ISBLANK(B9),B9="",ISBLANK(D9),D9="",D9&lt;=0,$L9="متغیر"),"",(B9-D9)/D9)</f>
        <v/>
      </c>
      <c r="F9" s="24" t="n">
        <v>560500000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لوازم برقی و پخت و پز</t>
        </is>
      </c>
      <c r="J9" s="26" t="inlineStr">
        <is>
          <t>لوازم برقی و پخت و پز اویز</t>
        </is>
      </c>
      <c r="K9" s="26" t="inlineStr">
        <is>
          <t>اویز</t>
        </is>
      </c>
      <c r="L9" s="26" t="inlineStr">
        <is>
          <t>ساده</t>
        </is>
      </c>
      <c r="M9" s="26" t="n"/>
      <c r="N9" s="26" t="inlineStr">
        <is>
          <t>3608</t>
        </is>
      </c>
      <c r="O9" s="26" t="n"/>
      <c r="P9" s="33" t="inlineStr">
        <is>
          <t>https://hosseinykala.ir/?p=3608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سرویس زودپز دوقلو ۵ و ۷ لیتری کلیپسی اویزپلاس مشکی رزگلد</t>
        </is>
      </c>
      <c r="B10" s="24" t="n">
        <v>208000000</v>
      </c>
      <c r="C10" s="24">
        <f>IF(OR(ISBLANK(B10),B10=""),"",IF($L10="متغیر","⚠️ والد متغیر نباید قیمت داشته باشد",B10/10))</f>
        <v/>
      </c>
      <c r="D10" s="24" t="n">
        <v>208000000</v>
      </c>
      <c r="E10" s="44">
        <f>IF(OR(ISBLANK(B10),B10="",ISBLANK(D10),D10="",D10&lt;=0,$L10="متغیر"),"",(B10-D10)/D10)</f>
        <v/>
      </c>
      <c r="F10" s="24" t="n">
        <v>197600000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لوازم برقی و پخت و پز</t>
        </is>
      </c>
      <c r="J10" s="26" t="inlineStr">
        <is>
          <t>لوازم برقی و پخت و پز اویز</t>
        </is>
      </c>
      <c r="K10" s="26" t="inlineStr">
        <is>
          <t>اویز</t>
        </is>
      </c>
      <c r="L10" s="26" t="inlineStr">
        <is>
          <t>ساده</t>
        </is>
      </c>
      <c r="M10" s="26" t="n"/>
      <c r="N10" s="26" t="inlineStr">
        <is>
          <t>3606</t>
        </is>
      </c>
      <c r="O10" s="26" t="n"/>
      <c r="P10" s="33" t="inlineStr">
        <is>
          <t>https://hosseinykala.ir/?p=3606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زودپز کلیپسی ۷ لیتری اویزپلاس مشکی رزگلد</t>
        </is>
      </c>
      <c r="B11" s="24" t="n">
        <v>190000000</v>
      </c>
      <c r="C11" s="24">
        <f>IF(OR(ISBLANK(B11),B11=""),"",IF($L11="متغیر","⚠️ والد متغیر نباید قیمت داشته باشد",B11/10))</f>
        <v/>
      </c>
      <c r="D11" s="24" t="n">
        <v>190000000</v>
      </c>
      <c r="E11" s="44">
        <f>IF(OR(ISBLANK(B11),B11="",ISBLANK(D11),D11="",D11&lt;=0,$L11="متغیر"),"",(B11-D11)/D11)</f>
        <v/>
      </c>
      <c r="F11" s="24" t="n">
        <v>180500000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لوازم برقی و پخت و پز</t>
        </is>
      </c>
      <c r="J11" s="26" t="inlineStr">
        <is>
          <t>لوازم برقی و پخت و پز اویز</t>
        </is>
      </c>
      <c r="K11" s="26" t="inlineStr">
        <is>
          <t>اویز</t>
        </is>
      </c>
      <c r="L11" s="26" t="inlineStr">
        <is>
          <t>ساده</t>
        </is>
      </c>
      <c r="M11" s="26" t="n"/>
      <c r="N11" s="26" t="inlineStr">
        <is>
          <t>3602</t>
        </is>
      </c>
      <c r="O11" s="26" t="n"/>
      <c r="P11" s="33" t="inlineStr">
        <is>
          <t>https://hosseinykala.ir/?p=3602</t>
        </is>
      </c>
      <c r="Q11" s="26" t="n"/>
      <c r="R11" s="26" t="inlineStr">
        <is>
          <t>ثبت‌شده در سایت</t>
        </is>
      </c>
    </row>
    <row r="12" ht="21" customHeight="1" s="38">
      <c r="A12" s="15" t="inlineStr">
        <is>
          <t>قابلمه تک گرانیتی مشکی اویز (سایزهای ۱۶ تا ۳۲)</t>
        </is>
      </c>
      <c r="B12" s="16" t="n"/>
      <c r="C12" s="16">
        <f>IF(OR(B12="",B12=0),"",B12/10)</f>
        <v/>
      </c>
      <c r="D12" s="16" t="n"/>
      <c r="E12" s="42">
        <f>IF(ISNUMBER(D12),(B12-D12)/D12,"")</f>
        <v/>
      </c>
      <c r="F12" s="16" t="n"/>
      <c r="G12" s="16">
        <f>IF(OR(F12="",F12=0),"",F12/10)</f>
        <v/>
      </c>
      <c r="H12" s="18" t="inlineStr">
        <is>
          <t>✓ موجود</t>
        </is>
      </c>
      <c r="I12" s="18" t="inlineStr">
        <is>
          <t>لوازم برقی و پخت و پز</t>
        </is>
      </c>
      <c r="J12" s="18" t="inlineStr">
        <is>
          <t>لوازم برقی و پخت و پز اویز</t>
        </is>
      </c>
      <c r="K12" s="18" t="inlineStr">
        <is>
          <t>اویز</t>
        </is>
      </c>
      <c r="L12" s="18" t="inlineStr">
        <is>
          <t>متغیر</t>
        </is>
      </c>
      <c r="M12" s="18" t="inlineStr">
        <is>
          <t>شامل 9 تنوع</t>
        </is>
      </c>
      <c r="N12" s="18" t="n"/>
      <c r="O12" s="18" t="n"/>
      <c r="P12" s="31" t="n"/>
      <c r="Q12" s="18" t="n"/>
      <c r="R12" s="18" t="inlineStr">
        <is>
          <t>ثبت‌شده در سایت</t>
        </is>
      </c>
    </row>
    <row r="13" ht="18.95" customHeight="1" s="38">
      <c r="A13" s="19" t="inlineStr">
        <is>
          <t>↳ سایز (سانتی‌متر): سایز ۱۶</t>
        </is>
      </c>
      <c r="B13" s="20" t="n">
        <v>39000000</v>
      </c>
      <c r="C13" s="20">
        <f>IF(OR(ISBLANK(B13),B13=""),"",IF($L13="متغیر","⚠️ والد متغیر نباید قیمت داشته باشد",B13/10))</f>
        <v/>
      </c>
      <c r="D13" s="20" t="n">
        <v>39000000</v>
      </c>
      <c r="E13" s="43">
        <f>IF(OR(ISBLANK(B13),B13="",ISBLANK(D13),D13="",D13&lt;=0,$L13="متغیر"),"",(B13-D13)/D13)</f>
        <v/>
      </c>
      <c r="F13" s="20" t="n">
        <v>37050000</v>
      </c>
      <c r="G13" s="20">
        <f>IF(OR(ISBLANK(F13),F13=""),"",IF($L13="متغیر","",F13/10))</f>
        <v/>
      </c>
      <c r="H13" s="22" t="inlineStr">
        <is>
          <t>✓ موجود</t>
        </is>
      </c>
      <c r="I13" s="22" t="inlineStr">
        <is>
          <t>لوازم برقی و پخت و پز</t>
        </is>
      </c>
      <c r="J13" s="22" t="inlineStr">
        <is>
          <t>لوازم برقی و پخت و پز اویز</t>
        </is>
      </c>
      <c r="K13" s="22" t="inlineStr">
        <is>
          <t>اویز</t>
        </is>
      </c>
      <c r="L13" s="22" t="inlineStr">
        <is>
          <t>تنوع</t>
        </is>
      </c>
      <c r="M13" s="22" t="inlineStr">
        <is>
          <t>سایز (سانتی‌متر): سایز ۱۶</t>
        </is>
      </c>
      <c r="N13" s="22" t="n"/>
      <c r="O13" s="22" t="n"/>
      <c r="P13" s="32" t="n"/>
      <c r="Q13" s="22" t="n"/>
      <c r="R13" s="22" t="inlineStr">
        <is>
          <t>ثبت‌شده در سایت</t>
        </is>
      </c>
    </row>
    <row r="14" ht="18.95" customHeight="1" s="38">
      <c r="A14" s="19" t="inlineStr">
        <is>
          <t>↳ سایز (سانتی‌متر): سایز ۱۸</t>
        </is>
      </c>
      <c r="B14" s="20" t="n">
        <v>42900000</v>
      </c>
      <c r="C14" s="20">
        <f>IF(OR(ISBLANK(B14),B14=""),"",IF($L14="متغیر","⚠️ والد متغیر نباید قیمت داشته باشد",B14/10))</f>
        <v/>
      </c>
      <c r="D14" s="20" t="n">
        <v>42900000</v>
      </c>
      <c r="E14" s="43">
        <f>IF(OR(ISBLANK(B14),B14="",ISBLANK(D14),D14="",D14&lt;=0,$L14="متغیر"),"",(B14-D14)/D14)</f>
        <v/>
      </c>
      <c r="F14" s="20" t="n">
        <v>40755000</v>
      </c>
      <c r="G14" s="20">
        <f>IF(OR(ISBLANK(F14),F14=""),"",IF($L14="متغیر","",F14/10))</f>
        <v/>
      </c>
      <c r="H14" s="22" t="inlineStr">
        <is>
          <t>✓ موجود</t>
        </is>
      </c>
      <c r="I14" s="22" t="inlineStr">
        <is>
          <t>لوازم برقی و پخت و پز</t>
        </is>
      </c>
      <c r="J14" s="22" t="inlineStr">
        <is>
          <t>لوازم برقی و پخت و پز اویز</t>
        </is>
      </c>
      <c r="K14" s="22" t="inlineStr">
        <is>
          <t>اویز</t>
        </is>
      </c>
      <c r="L14" s="22" t="inlineStr">
        <is>
          <t>تنوع</t>
        </is>
      </c>
      <c r="M14" s="22" t="inlineStr">
        <is>
          <t>سایز (سانتی‌متر): سایز ۱۸</t>
        </is>
      </c>
      <c r="N14" s="22" t="n"/>
      <c r="O14" s="22" t="n"/>
      <c r="P14" s="32" t="n"/>
      <c r="Q14" s="22" t="n"/>
      <c r="R14" s="22" t="inlineStr">
        <is>
          <t>ثبت‌شده در سایت</t>
        </is>
      </c>
    </row>
    <row r="15" ht="18.95" customHeight="1" s="38">
      <c r="A15" s="19" t="inlineStr">
        <is>
          <t>↳ سایز (سانتی‌متر): سایز ۲۰</t>
        </is>
      </c>
      <c r="B15" s="20" t="n">
        <v>45500000</v>
      </c>
      <c r="C15" s="20">
        <f>IF(OR(ISBLANK(B15),B15=""),"",IF($L15="متغیر","⚠️ والد متغیر نباید قیمت داشته باشد",B15/10))</f>
        <v/>
      </c>
      <c r="D15" s="20" t="n">
        <v>45500000</v>
      </c>
      <c r="E15" s="43">
        <f>IF(OR(ISBLANK(B15),B15="",ISBLANK(D15),D15="",D15&lt;=0,$L15="متغیر"),"",(B15-D15)/D15)</f>
        <v/>
      </c>
      <c r="F15" s="20" t="n">
        <v>43225000</v>
      </c>
      <c r="G15" s="20">
        <f>IF(OR(ISBLANK(F15),F15=""),"",IF($L15="متغیر","",F15/10))</f>
        <v/>
      </c>
      <c r="H15" s="22" t="inlineStr">
        <is>
          <t>✓ موجود</t>
        </is>
      </c>
      <c r="I15" s="22" t="inlineStr">
        <is>
          <t>لوازم برقی و پخت و پز</t>
        </is>
      </c>
      <c r="J15" s="22" t="inlineStr">
        <is>
          <t>لوازم برقی و پخت و پز اویز</t>
        </is>
      </c>
      <c r="K15" s="22" t="inlineStr">
        <is>
          <t>اویز</t>
        </is>
      </c>
      <c r="L15" s="22" t="inlineStr">
        <is>
          <t>تنوع</t>
        </is>
      </c>
      <c r="M15" s="22" t="inlineStr">
        <is>
          <t>سایز (سانتی‌متر): سایز ۲۰</t>
        </is>
      </c>
      <c r="N15" s="22" t="n"/>
      <c r="O15" s="22" t="n"/>
      <c r="P15" s="32" t="n"/>
      <c r="Q15" s="22" t="n"/>
      <c r="R15" s="22" t="inlineStr">
        <is>
          <t>ثبت‌شده در سایت</t>
        </is>
      </c>
    </row>
    <row r="16" ht="18.95" customHeight="1" s="38">
      <c r="A16" s="19" t="inlineStr">
        <is>
          <t>↳ سایز (سانتی‌متر): سایز ۲۲</t>
        </is>
      </c>
      <c r="B16" s="20" t="n">
        <v>48100000</v>
      </c>
      <c r="C16" s="20">
        <f>IF(OR(ISBLANK(B16),B16=""),"",IF($L16="متغیر","⚠️ والد متغیر نباید قیمت داشته باشد",B16/10))</f>
        <v/>
      </c>
      <c r="D16" s="20" t="n">
        <v>48100000</v>
      </c>
      <c r="E16" s="43">
        <f>IF(OR(ISBLANK(B16),B16="",ISBLANK(D16),D16="",D16&lt;=0,$L16="متغیر"),"",(B16-D16)/D16)</f>
        <v/>
      </c>
      <c r="F16" s="20" t="n">
        <v>45695000</v>
      </c>
      <c r="G16" s="20">
        <f>IF(OR(ISBLANK(F16),F16=""),"",IF($L16="متغیر","",F16/10))</f>
        <v/>
      </c>
      <c r="H16" s="22" t="inlineStr">
        <is>
          <t>✓ موجود</t>
        </is>
      </c>
      <c r="I16" s="22" t="inlineStr">
        <is>
          <t>لوازم برقی و پخت و پز</t>
        </is>
      </c>
      <c r="J16" s="22" t="inlineStr">
        <is>
          <t>لوازم برقی و پخت و پز اویز</t>
        </is>
      </c>
      <c r="K16" s="22" t="inlineStr">
        <is>
          <t>اویز</t>
        </is>
      </c>
      <c r="L16" s="22" t="inlineStr">
        <is>
          <t>تنوع</t>
        </is>
      </c>
      <c r="M16" s="22" t="inlineStr">
        <is>
          <t>سایز (سانتی‌متر): سایز ۲۲</t>
        </is>
      </c>
      <c r="N16" s="22" t="n"/>
      <c r="O16" s="22" t="n"/>
      <c r="P16" s="32" t="n"/>
      <c r="Q16" s="22" t="n"/>
      <c r="R16" s="22" t="inlineStr">
        <is>
          <t>ثبت‌شده در سایت</t>
        </is>
      </c>
    </row>
    <row r="17" ht="18.95" customHeight="1" s="38">
      <c r="A17" s="19" t="inlineStr">
        <is>
          <t>↳ سایز (سانتی‌متر): سایز ۲۴</t>
        </is>
      </c>
      <c r="B17" s="20" t="n">
        <v>52000000</v>
      </c>
      <c r="C17" s="20">
        <f>IF(OR(ISBLANK(B17),B17=""),"",IF($L17="متغیر","⚠️ والد متغیر نباید قیمت داشته باشد",B17/10))</f>
        <v/>
      </c>
      <c r="D17" s="20" t="n">
        <v>52000000</v>
      </c>
      <c r="E17" s="43">
        <f>IF(OR(ISBLANK(B17),B17="",ISBLANK(D17),D17="",D17&lt;=0,$L17="متغیر"),"",(B17-D17)/D17)</f>
        <v/>
      </c>
      <c r="F17" s="20" t="n">
        <v>49400000</v>
      </c>
      <c r="G17" s="20">
        <f>IF(OR(ISBLANK(F17),F17=""),"",IF($L17="متغیر","",F17/10))</f>
        <v/>
      </c>
      <c r="H17" s="22" t="inlineStr">
        <is>
          <t>✓ موجود</t>
        </is>
      </c>
      <c r="I17" s="22" t="inlineStr">
        <is>
          <t>لوازم برقی و پخت و پز</t>
        </is>
      </c>
      <c r="J17" s="22" t="inlineStr">
        <is>
          <t>لوازم برقی و پخت و پز اویز</t>
        </is>
      </c>
      <c r="K17" s="22" t="inlineStr">
        <is>
          <t>اویز</t>
        </is>
      </c>
      <c r="L17" s="22" t="inlineStr">
        <is>
          <t>تنوع</t>
        </is>
      </c>
      <c r="M17" s="22" t="inlineStr">
        <is>
          <t>سایز (سانتی‌متر): سایز ۲۴</t>
        </is>
      </c>
      <c r="N17" s="22" t="n"/>
      <c r="O17" s="22" t="n"/>
      <c r="P17" s="32" t="n"/>
      <c r="Q17" s="22" t="n"/>
      <c r="R17" s="22" t="inlineStr">
        <is>
          <t>ثبت‌شده در سایت</t>
        </is>
      </c>
    </row>
    <row r="18" ht="18.95" customHeight="1" s="38">
      <c r="A18" s="19" t="inlineStr">
        <is>
          <t>↳ سایز (سانتی‌متر): سایز ۲۶</t>
        </is>
      </c>
      <c r="B18" s="20" t="n">
        <v>61100000</v>
      </c>
      <c r="C18" s="20">
        <f>IF(OR(ISBLANK(B18),B18=""),"",IF($L18="متغیر","⚠️ والد متغیر نباید قیمت داشته باشد",B18/10))</f>
        <v/>
      </c>
      <c r="D18" s="20" t="n">
        <v>61100000</v>
      </c>
      <c r="E18" s="43">
        <f>IF(OR(ISBLANK(B18),B18="",ISBLANK(D18),D18="",D18&lt;=0,$L18="متغیر"),"",(B18-D18)/D18)</f>
        <v/>
      </c>
      <c r="F18" s="20" t="n">
        <v>58045000</v>
      </c>
      <c r="G18" s="20">
        <f>IF(OR(ISBLANK(F18),F18=""),"",IF($L18="متغیر","",F18/10))</f>
        <v/>
      </c>
      <c r="H18" s="22" t="inlineStr">
        <is>
          <t>✓ موجود</t>
        </is>
      </c>
      <c r="I18" s="22" t="inlineStr">
        <is>
          <t>لوازم برقی و پخت و پز</t>
        </is>
      </c>
      <c r="J18" s="22" t="inlineStr">
        <is>
          <t>لوازم برقی و پخت و پز اویز</t>
        </is>
      </c>
      <c r="K18" s="22" t="inlineStr">
        <is>
          <t>اویز</t>
        </is>
      </c>
      <c r="L18" s="22" t="inlineStr">
        <is>
          <t>تنوع</t>
        </is>
      </c>
      <c r="M18" s="22" t="inlineStr">
        <is>
          <t>سایز (سانتی‌متر): سایز ۲۶</t>
        </is>
      </c>
      <c r="N18" s="22" t="n"/>
      <c r="O18" s="22" t="n"/>
      <c r="P18" s="32" t="n"/>
      <c r="Q18" s="22" t="n"/>
      <c r="R18" s="22" t="inlineStr">
        <is>
          <t>ثبت‌شده در سایت</t>
        </is>
      </c>
    </row>
    <row r="19" ht="18.95" customHeight="1" s="38">
      <c r="A19" s="35" t="inlineStr">
        <is>
          <t>↳ سایز (سانتی‌متر): سایز ۲۸</t>
        </is>
      </c>
      <c r="B19" s="24" t="n"/>
      <c r="C19" s="24">
        <f>IF(OR(ISBLANK(B19),B19=""),"",IF($L19="متغیر","⚠️ والد متغیر نباید قیمت داشته باشد",B19/10))</f>
        <v/>
      </c>
      <c r="D19" s="24" t="n"/>
      <c r="E19" s="44">
        <f>IF(OR(ISBLANK(B19),B19="",ISBLANK(D19),D19="",D19&lt;=0,$L19="متغیر"),"",(B19-D19)/D19)</f>
        <v/>
      </c>
      <c r="F19" s="24" t="n"/>
      <c r="G19" s="24">
        <f>IF(OR(ISBLANK(F19),F19=""),"",IF($L19="متغیر","",F19/10))</f>
        <v/>
      </c>
      <c r="H19" s="36" t="inlineStr">
        <is>
          <t>✓ موجود</t>
        </is>
      </c>
      <c r="I19" s="36" t="inlineStr">
        <is>
          <t>لوازم برقی و پخت و پز</t>
        </is>
      </c>
      <c r="J19" s="36" t="inlineStr">
        <is>
          <t>لوازم برقی و پخت و پز اویز</t>
        </is>
      </c>
      <c r="K19" s="36" t="inlineStr">
        <is>
          <t>اویز</t>
        </is>
      </c>
      <c r="L19" s="36" t="inlineStr">
        <is>
          <t>تنوع</t>
        </is>
      </c>
      <c r="M19" s="36" t="inlineStr">
        <is>
          <t>سایز (سانتی‌متر): سایز ۲۸</t>
        </is>
      </c>
      <c r="N19" s="36" t="n"/>
      <c r="O19" s="36" t="n"/>
      <c r="P19" s="33" t="n"/>
      <c r="Q19" s="36" t="n"/>
      <c r="R19" s="36" t="inlineStr">
        <is>
          <t>فعلا دست نگه دار</t>
        </is>
      </c>
    </row>
    <row r="20" ht="18.95" customHeight="1" s="38">
      <c r="A20" s="19" t="inlineStr">
        <is>
          <t>↳ سایز (سانتی‌متر): سایز 30</t>
        </is>
      </c>
      <c r="B20" s="20" t="n">
        <v>71500000</v>
      </c>
      <c r="C20" s="20">
        <f>IF(OR(ISBLANK(B20),B20=""),"",IF($L20="متغیر","⚠️ والد متغیر نباید قیمت داشته باشد",B20/10))</f>
        <v/>
      </c>
      <c r="D20" s="20" t="n">
        <v>71500000</v>
      </c>
      <c r="E20" s="43">
        <f>IF(OR(ISBLANK(B20),B20="",ISBLANK(D20),D20="",D20&lt;=0,$L20="متغیر"),"",(B20-D20)/D20)</f>
        <v/>
      </c>
      <c r="F20" s="20" t="n">
        <v>67925000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لوازم برقی و پخت و پز</t>
        </is>
      </c>
      <c r="J20" s="22" t="inlineStr">
        <is>
          <t>لوازم برقی و پخت و پز اویز</t>
        </is>
      </c>
      <c r="K20" s="22" t="inlineStr">
        <is>
          <t>اویز</t>
        </is>
      </c>
      <c r="L20" s="22" t="inlineStr">
        <is>
          <t>تنوع</t>
        </is>
      </c>
      <c r="M20" s="22" t="inlineStr">
        <is>
          <t>سایز (سانتی‌متر): سایز 30</t>
        </is>
      </c>
      <c r="N20" s="22" t="n"/>
      <c r="O20" s="22" t="n"/>
      <c r="P20" s="32" t="n"/>
      <c r="Q20" s="22" t="n"/>
      <c r="R20" s="22" t="inlineStr">
        <is>
          <t>ثبت‌شده در سایت</t>
        </is>
      </c>
    </row>
    <row r="21" ht="18.95" customHeight="1" s="38">
      <c r="A21" s="19" t="inlineStr">
        <is>
          <t>↳ سایز (سانتی‌متر): سایز 32</t>
        </is>
      </c>
      <c r="B21" s="20" t="n">
        <v>79300000</v>
      </c>
      <c r="C21" s="20">
        <f>IF(OR(ISBLANK(B21),B21=""),"",IF($L21="متغیر","⚠️ والد متغیر نباید قیمت داشته باشد",B21/10))</f>
        <v/>
      </c>
      <c r="D21" s="20" t="n">
        <v>79300000</v>
      </c>
      <c r="E21" s="43">
        <f>IF(OR(ISBLANK(B21),B21="",ISBLANK(D21),D21="",D21&lt;=0,$L21="متغیر"),"",(B21-D21)/D21)</f>
        <v/>
      </c>
      <c r="F21" s="20" t="n">
        <v>75335000</v>
      </c>
      <c r="G21" s="20">
        <f>IF(OR(ISBLANK(F21),F21=""),"",IF($L21="متغیر","",F21/10))</f>
        <v/>
      </c>
      <c r="H21" s="22" t="inlineStr">
        <is>
          <t>✓ موجود</t>
        </is>
      </c>
      <c r="I21" s="22" t="inlineStr">
        <is>
          <t>لوازم برقی و پخت و پز</t>
        </is>
      </c>
      <c r="J21" s="22" t="inlineStr">
        <is>
          <t>لوازم برقی و پخت و پز اویز</t>
        </is>
      </c>
      <c r="K21" s="22" t="inlineStr">
        <is>
          <t>اویز</t>
        </is>
      </c>
      <c r="L21" s="22" t="inlineStr">
        <is>
          <t>تنوع</t>
        </is>
      </c>
      <c r="M21" s="22" t="inlineStr">
        <is>
          <t>سایز (سانتی‌متر): سایز 32</t>
        </is>
      </c>
      <c r="N21" s="22" t="n"/>
      <c r="O21" s="22" t="n"/>
      <c r="P21" s="32" t="n"/>
      <c r="Q21" s="22" t="n"/>
      <c r="R21" s="22" t="inlineStr">
        <is>
          <t>ثبت‌شده در سایت</t>
        </is>
      </c>
    </row>
    <row r="22" ht="21" customHeight="1" s="38">
      <c r="A22" s="23" t="inlineStr">
        <is>
          <t>سرویس قابلمه ۱۰ پارچه خمره‌ای اویز مدل سلین کرم</t>
        </is>
      </c>
      <c r="B22" s="24" t="n">
        <v>247000000</v>
      </c>
      <c r="C22" s="24">
        <f>IF(OR(ISBLANK(B22),B22=""),"",IF($L22="متغیر","⚠️ والد متغیر نباید قیمت داشته باشد",B22/10))</f>
        <v/>
      </c>
      <c r="D22" s="24" t="n">
        <v>247000000</v>
      </c>
      <c r="E22" s="44">
        <f>IF(OR(ISBLANK(B22),B22="",ISBLANK(D22),D22="",D22&lt;=0,$L22="متغیر"),"",(B22-D22)/D22)</f>
        <v/>
      </c>
      <c r="F22" s="24" t="n">
        <v>234650000</v>
      </c>
      <c r="G22" s="24">
        <f>IF(OR(ISBLANK(F22),F22=""),"",IF($L22="متغیر","",F22/10))</f>
        <v/>
      </c>
      <c r="H22" s="26" t="inlineStr">
        <is>
          <t>✓ موجود</t>
        </is>
      </c>
      <c r="I22" s="26" t="inlineStr">
        <is>
          <t>لوازم برقی و پخت و پز</t>
        </is>
      </c>
      <c r="J22" s="26" t="inlineStr">
        <is>
          <t>لوازم برقی و پخت و پز اویز</t>
        </is>
      </c>
      <c r="K22" s="26" t="inlineStr">
        <is>
          <t>اویز</t>
        </is>
      </c>
      <c r="L22" s="26" t="inlineStr">
        <is>
          <t>ساده</t>
        </is>
      </c>
      <c r="M22" s="26" t="n"/>
      <c r="N22" s="26" t="inlineStr">
        <is>
          <t>3592</t>
        </is>
      </c>
      <c r="O22" s="26" t="n"/>
      <c r="P22" s="33" t="inlineStr">
        <is>
          <t>https://hosseinykala.ir/?p=3592</t>
        </is>
      </c>
      <c r="Q22" s="26" t="n"/>
      <c r="R22" s="26" t="inlineStr">
        <is>
          <t>ثبت‌شده در سایت</t>
        </is>
      </c>
    </row>
    <row r="23" ht="21" customHeight="1" s="38">
      <c r="A23" s="15" t="inlineStr">
        <is>
          <t>سرویس پخت و پز 10 پارچه اویز مدل سلین</t>
        </is>
      </c>
      <c r="B23" s="16" t="n"/>
      <c r="C23" s="16">
        <f>IF(OR(B23="",B23=0),"",B23/10)</f>
        <v/>
      </c>
      <c r="D23" s="16" t="n"/>
      <c r="E23" s="42">
        <f>IF(ISNUMBER(D23),(B23-D23)/D23,"")</f>
        <v/>
      </c>
      <c r="F23" s="16" t="n"/>
      <c r="G23" s="16">
        <f>IF(OR(F23="",F23=0),"",F23/10)</f>
        <v/>
      </c>
      <c r="H23" s="18" t="inlineStr">
        <is>
          <t>✓ موجود</t>
        </is>
      </c>
      <c r="I23" s="18" t="inlineStr">
        <is>
          <t>لوازم برقی و پخت و پز</t>
        </is>
      </c>
      <c r="J23" s="18" t="inlineStr">
        <is>
          <t>لوازم برقی و پخت و پز اویز</t>
        </is>
      </c>
      <c r="K23" s="18" t="inlineStr">
        <is>
          <t>اویز</t>
        </is>
      </c>
      <c r="L23" s="18" t="inlineStr">
        <is>
          <t>متغیر</t>
        </is>
      </c>
      <c r="M23" s="18" t="inlineStr">
        <is>
          <t>شامل 2 تنوع</t>
        </is>
      </c>
      <c r="N23" s="18" t="inlineStr">
        <is>
          <t>3357</t>
        </is>
      </c>
      <c r="O23" s="18" t="n"/>
      <c r="P23" s="31" t="inlineStr">
        <is>
          <t>https://hosseinykala.ir/?p=3357</t>
        </is>
      </c>
      <c r="Q23" s="18" t="n"/>
      <c r="R23" s="18" t="inlineStr">
        <is>
          <t>ثبت‌شده در سایت</t>
        </is>
      </c>
    </row>
    <row r="24" ht="18.95" customHeight="1" s="38">
      <c r="A24" s="19" t="inlineStr">
        <is>
          <t>↳ رنگ: اناری</t>
        </is>
      </c>
      <c r="B24" s="20" t="n">
        <v>330000000</v>
      </c>
      <c r="C24" s="20">
        <f>IF(OR(ISBLANK(B24),B24=""),"",IF($L24="متغیر","⚠️ والد متغیر نباید قیمت داشته باشد",B24/10))</f>
        <v/>
      </c>
      <c r="D24" s="20" t="n">
        <v>330000000</v>
      </c>
      <c r="E24" s="43">
        <f>IF(OR(ISBLANK(B24),B24="",ISBLANK(D24),D24="",D24&lt;=0,$L24="متغیر"),"",(B24-D24)/D24)</f>
        <v/>
      </c>
      <c r="F24" s="20" t="n">
        <v>313500000</v>
      </c>
      <c r="G24" s="20">
        <f>IF(OR(ISBLANK(F24),F24=""),"",IF($L24="متغیر","",F24/10))</f>
        <v/>
      </c>
      <c r="H24" s="22" t="inlineStr">
        <is>
          <t>✓ موجود</t>
        </is>
      </c>
      <c r="I24" s="22" t="inlineStr">
        <is>
          <t>لوازم برقی و پخت و پز</t>
        </is>
      </c>
      <c r="J24" s="22" t="inlineStr">
        <is>
          <t>لوازم برقی و پخت و پز اویز</t>
        </is>
      </c>
      <c r="K24" s="22" t="inlineStr">
        <is>
          <t>اویز</t>
        </is>
      </c>
      <c r="L24" s="22" t="inlineStr">
        <is>
          <t>تنوع</t>
        </is>
      </c>
      <c r="M24" s="22" t="inlineStr">
        <is>
          <t>رنگ: اناری</t>
        </is>
      </c>
      <c r="N24" s="22" t="inlineStr">
        <is>
          <t>3357</t>
        </is>
      </c>
      <c r="O24" s="22" t="n">
        <v>3705</v>
      </c>
      <c r="P24" s="32" t="inlineStr">
        <is>
          <t>https://hosseinykala.ir/?p=3357</t>
        </is>
      </c>
      <c r="Q24" s="22" t="n"/>
      <c r="R24" s="22" t="inlineStr">
        <is>
          <t>ثبت‌شده در سایت</t>
        </is>
      </c>
    </row>
    <row r="25" ht="18.95" customHeight="1" s="38">
      <c r="A25" s="19" t="inlineStr">
        <is>
          <t>↳ رنگ: سرمه‌ای</t>
        </is>
      </c>
      <c r="B25" s="20" t="n">
        <v>270000000</v>
      </c>
      <c r="C25" s="20">
        <f>IF(OR(ISBLANK(B25),B25=""),"",IF($L25="متغیر","⚠️ والد متغیر نباید قیمت داشته باشد",B25/10))</f>
        <v/>
      </c>
      <c r="D25" s="20" t="n">
        <v>270000000</v>
      </c>
      <c r="E25" s="43">
        <f>IF(OR(ISBLANK(B25),B25="",ISBLANK(D25),D25="",D25&lt;=0,$L25="متغیر"),"",(B25-D25)/D25)</f>
        <v/>
      </c>
      <c r="F25" s="20" t="n">
        <v>256500000</v>
      </c>
      <c r="G25" s="20">
        <f>IF(OR(ISBLANK(F25),F25=""),"",IF($L25="متغیر","",F25/10))</f>
        <v/>
      </c>
      <c r="H25" s="22" t="inlineStr">
        <is>
          <t>✓ موجود</t>
        </is>
      </c>
      <c r="I25" s="22" t="inlineStr">
        <is>
          <t>لوازم برقی و پخت و پز</t>
        </is>
      </c>
      <c r="J25" s="22" t="inlineStr">
        <is>
          <t>لوازم برقی و پخت و پز اویز</t>
        </is>
      </c>
      <c r="K25" s="22" t="inlineStr">
        <is>
          <t>اویز</t>
        </is>
      </c>
      <c r="L25" s="22" t="inlineStr">
        <is>
          <t>تنوع</t>
        </is>
      </c>
      <c r="M25" s="22" t="inlineStr">
        <is>
          <t>رنگ: سرمه‌ای</t>
        </is>
      </c>
      <c r="N25" s="22" t="inlineStr">
        <is>
          <t>3357</t>
        </is>
      </c>
      <c r="O25" s="22" t="n">
        <v>3704</v>
      </c>
      <c r="P25" s="32" t="inlineStr">
        <is>
          <t>https://hosseinykala.ir/?p=3357</t>
        </is>
      </c>
      <c r="Q25" s="22" t="n"/>
      <c r="R25" s="22" t="inlineStr">
        <is>
          <t>ثبت‌شده در سایت</t>
        </is>
      </c>
    </row>
    <row r="26" ht="21" customHeight="1" s="38">
      <c r="A26" s="23" t="inlineStr">
        <is>
          <t>سرویس پخت و پز 11 پارچه اویز پلاس مدل ویولا</t>
        </is>
      </c>
      <c r="B26" s="24" t="n">
        <v>395000000</v>
      </c>
      <c r="C26" s="24">
        <f>IF(OR(ISBLANK(B26),B26=""),"",IF($L26="متغیر","⚠️ والد متغیر نباید قیمت داشته باشد",B26/10))</f>
        <v/>
      </c>
      <c r="D26" s="24" t="n">
        <v>395000000</v>
      </c>
      <c r="E26" s="44">
        <f>IF(OR(ISBLANK(B26),B26="",ISBLANK(D26),D26="",D26&lt;=0,$L26="متغیر"),"",(B26-D26)/D26)</f>
        <v/>
      </c>
      <c r="F26" s="24" t="n">
        <v>375250000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لوازم برقی و پخت و پز</t>
        </is>
      </c>
      <c r="J26" s="26" t="inlineStr">
        <is>
          <t>لوازم برقی و پخت و پز اویز</t>
        </is>
      </c>
      <c r="K26" s="26" t="inlineStr">
        <is>
          <t>اویز</t>
        </is>
      </c>
      <c r="L26" s="26" t="inlineStr">
        <is>
          <t>ساده</t>
        </is>
      </c>
      <c r="M26" s="26" t="n"/>
      <c r="N26" s="26" t="inlineStr">
        <is>
          <t>3318</t>
        </is>
      </c>
      <c r="O26" s="26" t="n"/>
      <c r="P26" s="33" t="inlineStr">
        <is>
          <t>https://hosseinykala.ir/?p=3318</t>
        </is>
      </c>
      <c r="Q26" s="26" t="n"/>
      <c r="R26" s="26" t="inlineStr">
        <is>
          <t>ثبت‌شده در سایت</t>
        </is>
      </c>
    </row>
    <row r="27" ht="21" customHeight="1" s="38">
      <c r="A27" s="15" t="inlineStr">
        <is>
          <t>تابه گرانیتی مشکی اویز (سایزهای 22 تا 32)</t>
        </is>
      </c>
      <c r="B27" s="16" t="n"/>
      <c r="C27" s="16">
        <f>IF(OR(B27="",B27=0),"",B27/10)</f>
        <v/>
      </c>
      <c r="D27" s="16" t="n"/>
      <c r="E27" s="42">
        <f>IF(ISNUMBER(D27),(B27-D27)/D27,"")</f>
        <v/>
      </c>
      <c r="F27" s="16" t="n"/>
      <c r="G27" s="16">
        <f>IF(OR(F27="",F27=0),"",F27/10)</f>
        <v/>
      </c>
      <c r="H27" s="18" t="inlineStr">
        <is>
          <t>✓ موجود</t>
        </is>
      </c>
      <c r="I27" s="18" t="inlineStr">
        <is>
          <t>لوازم برقی و پخت و پز</t>
        </is>
      </c>
      <c r="J27" s="18" t="inlineStr">
        <is>
          <t>لوازم برقی و پخت و پز اویز</t>
        </is>
      </c>
      <c r="K27" s="18" t="inlineStr">
        <is>
          <t>اویز</t>
        </is>
      </c>
      <c r="L27" s="18" t="inlineStr">
        <is>
          <t>متغیر</t>
        </is>
      </c>
      <c r="M27" s="18" t="inlineStr">
        <is>
          <t>شامل 7 تنوع</t>
        </is>
      </c>
      <c r="N27" s="18" t="inlineStr">
        <is>
          <t>4073</t>
        </is>
      </c>
      <c r="O27" s="18" t="n"/>
      <c r="P27" s="31" t="inlineStr">
        <is>
          <t>https://hosseinykala.ir/product/aviz-granite-frying-pan-black/</t>
        </is>
      </c>
      <c r="Q27" s="18" t="n"/>
      <c r="R27" s="18" t="inlineStr">
        <is>
          <t>ثبت‌شده در سایت</t>
        </is>
      </c>
    </row>
    <row r="28" ht="18.95" customHeight="1" s="38">
      <c r="A28" s="19" t="inlineStr">
        <is>
          <t>↳ سایز: 22 سانتیمتر</t>
        </is>
      </c>
      <c r="B28" s="20" t="n"/>
      <c r="C28" s="20">
        <f>IF(OR(ISBLANK(B28),B28=""),"",IF($L28="متغیر","⚠️ والد متغیر نباید قیمت داشته باشد",B28/10))</f>
        <v/>
      </c>
      <c r="D28" s="20" t="n"/>
      <c r="E28" s="43">
        <f>IF(OR(ISBLANK(B28),B28="",ISBLANK(D28),D28="",D28&lt;=0,$L28="متغیر"),"",(B28-D28)/D28)</f>
        <v/>
      </c>
      <c r="F28" s="20" t="n"/>
      <c r="G28" s="20">
        <f>IF(OR(ISBLANK(F28),F28=""),"",IF($L28="متغیر","",F28/10))</f>
        <v/>
      </c>
      <c r="H28" s="22" t="inlineStr">
        <is>
          <t>✗ ناموجود</t>
        </is>
      </c>
      <c r="I28" s="22" t="inlineStr">
        <is>
          <t>لوازم برقی و پخت و پز</t>
        </is>
      </c>
      <c r="J28" s="22" t="inlineStr">
        <is>
          <t>لوازم برقی و پخت و پز اویز</t>
        </is>
      </c>
      <c r="K28" s="22" t="inlineStr">
        <is>
          <t>اویز</t>
        </is>
      </c>
      <c r="L28" s="22" t="inlineStr">
        <is>
          <t>تنوع</t>
        </is>
      </c>
      <c r="M28" s="22" t="inlineStr">
        <is>
          <t>سایز: 22 سانتیمتر</t>
        </is>
      </c>
      <c r="N28" s="22" t="inlineStr">
        <is>
          <t>4073</t>
        </is>
      </c>
      <c r="O28" s="22" t="n">
        <v>4074</v>
      </c>
      <c r="P28" s="32" t="inlineStr">
        <is>
          <t>https://hosseinykala.ir/product/aviz-granite-frying-pan-black/</t>
        </is>
      </c>
      <c r="Q28" s="22" t="n"/>
      <c r="R28" s="22" t="inlineStr">
        <is>
          <t>ثبت‌شده در سایت</t>
        </is>
      </c>
    </row>
    <row r="29" ht="18.95" customHeight="1" s="38">
      <c r="A29" s="19" t="inlineStr">
        <is>
          <t>↳ سایز: 24 سانتیمتر مشکی</t>
        </is>
      </c>
      <c r="B29" s="20" t="n">
        <v>32000000</v>
      </c>
      <c r="C29" s="20">
        <f>IF(OR(ISBLANK(B29),B29=""),"",IF($L29="متغیر","⚠️ والد متغیر نباید قیمت داشته باشد",B29/10))</f>
        <v/>
      </c>
      <c r="D29" s="20" t="n">
        <v>32000000</v>
      </c>
      <c r="E29" s="43">
        <f>IF(OR(ISBLANK(B29),B29="",ISBLANK(D29),D29="",D29&lt;=0,$L29="متغیر"),"",(B29-D29)/D29)</f>
        <v/>
      </c>
      <c r="F29" s="20" t="n">
        <v>30400000</v>
      </c>
      <c r="G29" s="20">
        <f>IF(OR(ISBLANK(F29),F29=""),"",IF($L29="متغیر","",F29/10))</f>
        <v/>
      </c>
      <c r="H29" s="22" t="inlineStr">
        <is>
          <t>✓ موجود</t>
        </is>
      </c>
      <c r="I29" s="22" t="inlineStr">
        <is>
          <t>لوازم برقی و پخت و پز</t>
        </is>
      </c>
      <c r="J29" s="22" t="inlineStr">
        <is>
          <t>لوازم برقی و پخت و پز اویز</t>
        </is>
      </c>
      <c r="K29" s="22" t="inlineStr">
        <is>
          <t>اویز</t>
        </is>
      </c>
      <c r="L29" s="22" t="inlineStr">
        <is>
          <t>تنوع</t>
        </is>
      </c>
      <c r="M29" s="22" t="inlineStr">
        <is>
          <t>سایز: 24 سانتیمتر مشکی</t>
        </is>
      </c>
      <c r="N29" s="22" t="inlineStr">
        <is>
          <t>4073</t>
        </is>
      </c>
      <c r="O29" s="22" t="n">
        <v>4075</v>
      </c>
      <c r="P29" s="32" t="inlineStr">
        <is>
          <t>https://hosseinykala.ir/product/aviz-granite-frying-pan-black/</t>
        </is>
      </c>
      <c r="Q29" s="22" t="n"/>
      <c r="R29" s="22" t="inlineStr">
        <is>
          <t>ثبت‌شده در سایت</t>
        </is>
      </c>
    </row>
    <row r="30" ht="18.95" customHeight="1" s="38">
      <c r="A30" s="35" t="inlineStr">
        <is>
          <t>↳ سایز: 24 سانتیمتر ساده</t>
        </is>
      </c>
      <c r="B30" s="24" t="n"/>
      <c r="C30" s="24">
        <f>IF(OR(ISBLANK(B30),B30=""),"",IF($L30="متغیر","⚠️ والد متغیر نباید قیمت داشته باشد",B30/10))</f>
        <v/>
      </c>
      <c r="D30" s="24" t="n"/>
      <c r="E30" s="44">
        <f>IF(OR(ISBLANK(B30),B30="",ISBLANK(D30),D30="",D30&lt;=0,$L30="متغیر"),"",(B30-D30)/D30)</f>
        <v/>
      </c>
      <c r="F30" s="24" t="n"/>
      <c r="G30" s="24">
        <f>IF(OR(ISBLANK(F30),F30=""),"",IF($L30="متغیر","",F30/10))</f>
        <v/>
      </c>
      <c r="H30" s="36" t="inlineStr">
        <is>
          <t>✗ ناموجود</t>
        </is>
      </c>
      <c r="I30" s="36" t="inlineStr">
        <is>
          <t>لوازم برقی و پخت و پز</t>
        </is>
      </c>
      <c r="J30" s="36" t="inlineStr">
        <is>
          <t>لوازم برقی و پخت و پز اویز</t>
        </is>
      </c>
      <c r="K30" s="36" t="inlineStr">
        <is>
          <t>اویز</t>
        </is>
      </c>
      <c r="L30" s="36" t="inlineStr">
        <is>
          <t>تنوع</t>
        </is>
      </c>
      <c r="M30" s="36" t="inlineStr">
        <is>
          <t>سایز: 24 سانتیمتر ساده</t>
        </is>
      </c>
      <c r="N30" s="36" t="inlineStr">
        <is>
          <t>4073</t>
        </is>
      </c>
      <c r="O30" s="36" t="n">
        <v>4075</v>
      </c>
      <c r="P30" s="33" t="inlineStr">
        <is>
          <t>https://hosseinykala.ir/product/aviz-granite-frying-pan-black/</t>
        </is>
      </c>
      <c r="Q30" s="36" t="n"/>
      <c r="R30" s="36" t="inlineStr">
        <is>
          <t>فعلا دست نگه دار</t>
        </is>
      </c>
    </row>
    <row r="31" ht="18.95" customHeight="1" s="38">
      <c r="A31" s="19" t="inlineStr">
        <is>
          <t>↳ سایز: 26 سانتیمتر</t>
        </is>
      </c>
      <c r="B31" s="20" t="n">
        <v>47000000</v>
      </c>
      <c r="C31" s="20">
        <f>IF(OR(ISBLANK(B31),B31=""),"",IF($L31="متغیر","⚠️ والد متغیر نباید قیمت داشته باشد",B31/10))</f>
        <v/>
      </c>
      <c r="D31" s="20" t="n">
        <v>47000000</v>
      </c>
      <c r="E31" s="43">
        <f>IF(OR(ISBLANK(B31),B31="",ISBLANK(D31),D31="",D31&lt;=0,$L31="متغیر"),"",(B31-D31)/D31)</f>
        <v/>
      </c>
      <c r="F31" s="20" t="n">
        <v>44650000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لوازم برقی و پخت و پز</t>
        </is>
      </c>
      <c r="J31" s="22" t="inlineStr">
        <is>
          <t>لوازم برقی و پخت و پز اویز</t>
        </is>
      </c>
      <c r="K31" s="22" t="inlineStr">
        <is>
          <t>اویز</t>
        </is>
      </c>
      <c r="L31" s="22" t="inlineStr">
        <is>
          <t>تنوع</t>
        </is>
      </c>
      <c r="M31" s="22" t="inlineStr">
        <is>
          <t>سایز: 26 سانتیمتر</t>
        </is>
      </c>
      <c r="N31" s="22" t="inlineStr">
        <is>
          <t>4073</t>
        </is>
      </c>
      <c r="O31" s="22" t="n">
        <v>4076</v>
      </c>
      <c r="P31" s="32" t="inlineStr">
        <is>
          <t>https://hosseinykala.ir/product/aviz-granite-frying-pan-black/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سایز: 28 سانتیمتر درب دار</t>
        </is>
      </c>
      <c r="B32" s="20" t="n">
        <v>49000000</v>
      </c>
      <c r="C32" s="20">
        <f>IF(OR(ISBLANK(B32),B32=""),"",IF($L32="متغیر","⚠️ والد متغیر نباید قیمت داشته باشد",B32/10))</f>
        <v/>
      </c>
      <c r="D32" s="20" t="n">
        <v>49000000</v>
      </c>
      <c r="E32" s="43">
        <f>IF(OR(ISBLANK(B32),B32="",ISBLANK(D32),D32="",D32&lt;=0,$L32="متغیر"),"",(B32-D32)/D32)</f>
        <v/>
      </c>
      <c r="F32" s="20" t="n">
        <v>46550000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لوازم برقی و پخت و پز</t>
        </is>
      </c>
      <c r="J32" s="22" t="inlineStr">
        <is>
          <t>لوازم برقی و پخت و پز اویز</t>
        </is>
      </c>
      <c r="K32" s="22" t="inlineStr">
        <is>
          <t>اویز</t>
        </is>
      </c>
      <c r="L32" s="22" t="inlineStr">
        <is>
          <t>تنوع</t>
        </is>
      </c>
      <c r="M32" s="22" t="inlineStr">
        <is>
          <t>سایز: 28 سانتیمتر درب دار</t>
        </is>
      </c>
      <c r="N32" s="22" t="inlineStr">
        <is>
          <t>4073</t>
        </is>
      </c>
      <c r="O32" s="22" t="n">
        <v>4077</v>
      </c>
      <c r="P32" s="32" t="inlineStr">
        <is>
          <t>https://hosseinykala.ir/product/aviz-granite-frying-pan-black/</t>
        </is>
      </c>
      <c r="Q32" s="22" t="n"/>
      <c r="R32" s="22" t="inlineStr">
        <is>
          <t>ثبت‌شده در سایت</t>
        </is>
      </c>
    </row>
    <row r="33" ht="18.95" customHeight="1" s="38">
      <c r="A33" s="19" t="inlineStr">
        <is>
          <t>↳ سایز: 30 سانتیمتر</t>
        </is>
      </c>
      <c r="B33" s="20" t="n">
        <v>60000000</v>
      </c>
      <c r="C33" s="20">
        <f>IF(OR(ISBLANK(B33),B33=""),"",IF($L33="متغیر","⚠️ والد متغیر نباید قیمت داشته باشد",B33/10))</f>
        <v/>
      </c>
      <c r="D33" s="20" t="n">
        <v>60000000</v>
      </c>
      <c r="E33" s="43">
        <f>IF(OR(ISBLANK(B33),B33="",ISBLANK(D33),D33="",D33&lt;=0,$L33="متغیر"),"",(B33-D33)/D33)</f>
        <v/>
      </c>
      <c r="F33" s="20" t="n">
        <v>57000000</v>
      </c>
      <c r="G33" s="20">
        <f>IF(OR(ISBLANK(F33),F33=""),"",IF($L33="متغیر","",F33/10))</f>
        <v/>
      </c>
      <c r="H33" s="22" t="inlineStr">
        <is>
          <t>✓ موجود</t>
        </is>
      </c>
      <c r="I33" s="22" t="inlineStr">
        <is>
          <t>لوازم برقی و پخت و پز</t>
        </is>
      </c>
      <c r="J33" s="22" t="inlineStr">
        <is>
          <t>لوازم برقی و پخت و پز اویز</t>
        </is>
      </c>
      <c r="K33" s="22" t="inlineStr">
        <is>
          <t>اویز</t>
        </is>
      </c>
      <c r="L33" s="22" t="inlineStr">
        <is>
          <t>تنوع</t>
        </is>
      </c>
      <c r="M33" s="22" t="inlineStr">
        <is>
          <t>سایز: 30 سانتیمتر</t>
        </is>
      </c>
      <c r="N33" s="22" t="inlineStr">
        <is>
          <t>4073</t>
        </is>
      </c>
      <c r="O33" s="22" t="n">
        <v>4078</v>
      </c>
      <c r="P33" s="32" t="inlineStr">
        <is>
          <t>https://hosseinykala.ir/product/aviz-granite-frying-pan-black/</t>
        </is>
      </c>
      <c r="Q33" s="22" t="n"/>
      <c r="R33" s="22" t="inlineStr">
        <is>
          <t>ثبت‌شده در سایت</t>
        </is>
      </c>
    </row>
    <row r="34" ht="18.95" customHeight="1" s="38">
      <c r="A34" s="19" t="inlineStr">
        <is>
          <t>↳ سایز: 32 سانتیمتر فوج مشکی درب دار</t>
        </is>
      </c>
      <c r="B34" s="20" t="n">
        <v>87000000</v>
      </c>
      <c r="C34" s="20">
        <f>IF(OR(ISBLANK(B34),B34=""),"",IF($L34="متغیر","⚠️ والد متغیر نباید قیمت داشته باشد",B34/10))</f>
        <v/>
      </c>
      <c r="D34" s="20" t="n">
        <v>87000000</v>
      </c>
      <c r="E34" s="43">
        <f>IF(OR(ISBLANK(B34),B34="",ISBLANK(D34),D34="",D34&lt;=0,$L34="متغیر"),"",(B34-D34)/D34)</f>
        <v/>
      </c>
      <c r="F34" s="20" t="n">
        <v>82650000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لوازم برقی و پخت و پز</t>
        </is>
      </c>
      <c r="J34" s="22" t="inlineStr">
        <is>
          <t>لوازم برقی و پخت و پز اویز</t>
        </is>
      </c>
      <c r="K34" s="22" t="inlineStr">
        <is>
          <t>اویز</t>
        </is>
      </c>
      <c r="L34" s="22" t="inlineStr">
        <is>
          <t>تنوع</t>
        </is>
      </c>
      <c r="M34" s="22" t="inlineStr">
        <is>
          <t>سایز: 32 سانتیمتر فوج مشکی درب دار</t>
        </is>
      </c>
      <c r="N34" s="22" t="inlineStr">
        <is>
          <t>4073</t>
        </is>
      </c>
      <c r="O34" s="22" t="n">
        <v>4079</v>
      </c>
      <c r="P34" s="32" t="inlineStr">
        <is>
          <t>https://hosseinykala.ir/product/aviz-granite-frying-pan-black/</t>
        </is>
      </c>
      <c r="Q34" s="22" t="n"/>
      <c r="R34" s="22" t="inlineStr">
        <is>
          <t>ثبت‌شده در سایت</t>
        </is>
      </c>
    </row>
    <row r="35" ht="21" customHeight="1" s="38">
      <c r="A35" s="23" t="inlineStr">
        <is>
          <t>سرویس قابلمه 11 پارچه اویزپلاس مدل السا سبز</t>
        </is>
      </c>
      <c r="B35" s="24" t="n">
        <v>395000000</v>
      </c>
      <c r="C35" s="24">
        <f>IF(OR(ISBLANK(B35),B35=""),"",IF($L35="متغیر","⚠️ والد متغیر نباید قیمت داشته باشد",B35/10))</f>
        <v/>
      </c>
      <c r="D35" s="24" t="n">
        <v>395000000</v>
      </c>
      <c r="E35" s="44">
        <f>IF(OR(ISBLANK(B35),B35="",ISBLANK(D35),D35="",D35&lt;=0,$L35="متغیر"),"",(B35-D35)/D35)</f>
        <v/>
      </c>
      <c r="F35" s="24" t="n">
        <v>375250000</v>
      </c>
      <c r="G35" s="24">
        <f>IF(OR(ISBLANK(F35),F35=""),"",IF($L35="متغیر","",F35/10))</f>
        <v/>
      </c>
      <c r="H35" s="26" t="inlineStr">
        <is>
          <t>✓ موجود</t>
        </is>
      </c>
      <c r="I35" s="26" t="inlineStr">
        <is>
          <t>لوازم برقی و پخت و پز</t>
        </is>
      </c>
      <c r="J35" s="26" t="inlineStr">
        <is>
          <t>لوازم برقی و پخت و پز اویز</t>
        </is>
      </c>
      <c r="K35" s="26" t="inlineStr">
        <is>
          <t>اویز</t>
        </is>
      </c>
      <c r="L35" s="26" t="inlineStr">
        <is>
          <t>ساده</t>
        </is>
      </c>
      <c r="M35" s="26" t="n"/>
      <c r="N35" s="26" t="inlineStr">
        <is>
          <t>4091</t>
        </is>
      </c>
      <c r="O35" s="26" t="n"/>
      <c r="P35" s="33" t="inlineStr">
        <is>
          <t>https://hosseinykala.ir/product/avizplus-elsa-11pcs-cookware-set-green/</t>
        </is>
      </c>
      <c r="Q35" s="26" t="n"/>
      <c r="R35" s="26" t="inlineStr">
        <is>
          <t>ثبت‌شده در سایت</t>
        </is>
      </c>
    </row>
    <row r="36" ht="21" customHeight="1" s="38">
      <c r="A36" s="23" t="inlineStr">
        <is>
          <t>قابلمه مرغ خوری اویزپلاس مشکی</t>
        </is>
      </c>
      <c r="B36" s="24" t="n">
        <v>95000000</v>
      </c>
      <c r="C36" s="24">
        <f>IF(OR(ISBLANK(B36),B36=""),"",IF($L36="متغیر","⚠️ والد متغیر نباید قیمت داشته باشد",B36/10))</f>
        <v/>
      </c>
      <c r="D36" s="24" t="n">
        <v>95000000</v>
      </c>
      <c r="E36" s="44">
        <f>IF(OR(ISBLANK(B36),B36="",ISBLANK(D36),D36="",D36&lt;=0,$L36="متغیر"),"",(B36-D36)/D36)</f>
        <v/>
      </c>
      <c r="F36" s="24" t="n">
        <v>90250000</v>
      </c>
      <c r="G36" s="24">
        <f>IF(OR(ISBLANK(F36),F36=""),"",IF($L36="متغیر","",F36/10))</f>
        <v/>
      </c>
      <c r="H36" s="26" t="inlineStr">
        <is>
          <t>✓ موجود</t>
        </is>
      </c>
      <c r="I36" s="26" t="inlineStr">
        <is>
          <t>لوازم برقی و پخت و پز</t>
        </is>
      </c>
      <c r="J36" s="26" t="inlineStr">
        <is>
          <t>لوازم برقی و پخت و پز اویز</t>
        </is>
      </c>
      <c r="K36" s="26" t="inlineStr">
        <is>
          <t>اویز</t>
        </is>
      </c>
      <c r="L36" s="26" t="inlineStr">
        <is>
          <t>ساده</t>
        </is>
      </c>
      <c r="M36" s="26" t="n"/>
      <c r="N36" s="26" t="inlineStr">
        <is>
          <t>4093</t>
        </is>
      </c>
      <c r="O36" s="26" t="n"/>
      <c r="P36" s="33" t="inlineStr">
        <is>
          <t>https://hosseinykala.ir/product/avizplus-poultry-pot-black/</t>
        </is>
      </c>
      <c r="Q36" s="26" t="n"/>
      <c r="R36" s="26" t="inlineStr">
        <is>
          <t>ثبت‌شده در سایت</t>
        </is>
      </c>
    </row>
    <row r="37" ht="21" customHeight="1" s="38">
      <c r="A37" s="23" t="inlineStr">
        <is>
          <t>سرویس قابلمه اویزپلاس 10 پارچه اناری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لوازم برقی و پخت و پز</t>
        </is>
      </c>
      <c r="J37" s="26" t="inlineStr">
        <is>
          <t>لوازم برقی و پخت و پز اویز</t>
        </is>
      </c>
      <c r="K37" s="26" t="inlineStr">
        <is>
          <t>اویز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.95" customHeight="1" s="38">
      <c r="A38" s="39" t="inlineStr">
        <is>
          <t xml:space="preserve">  📂 لوازم برقی و پخت و پز  ◀  دونالکس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1" t="n"/>
    </row>
    <row r="39" ht="21" customHeight="1" s="38">
      <c r="A39" s="23" t="inlineStr">
        <is>
          <t>آبمیوه‌گیری ۴ کاره دونالکس مدل DN-290</t>
        </is>
      </c>
      <c r="B39" s="24" t="n">
        <v>375000000</v>
      </c>
      <c r="C39" s="24">
        <f>IF(OR(ISBLANK(B39),B39=""),"",IF($L39="متغیر","⚠️ والد متغیر نباید قیمت داشته باشد",B39/10))</f>
        <v/>
      </c>
      <c r="D39" s="24" t="n">
        <v>375000000</v>
      </c>
      <c r="E39" s="44">
        <f>IF(OR(ISBLANK(B39),B39="",ISBLANK(D39),D39="",D39&lt;=0,$L39="متغیر"),"",(B39-D39)/D39)</f>
        <v/>
      </c>
      <c r="F39" s="24" t="n">
        <v>356250000</v>
      </c>
      <c r="G39" s="24">
        <f>IF(OR(ISBLANK(F39),F39=""),"",IF($L39="متغیر","",F39/10))</f>
        <v/>
      </c>
      <c r="H39" s="26" t="inlineStr">
        <is>
          <t>✓ موجود</t>
        </is>
      </c>
      <c r="I39" s="26" t="inlineStr">
        <is>
          <t>لوازم برقی و پخت و پز</t>
        </is>
      </c>
      <c r="J39" s="26" t="inlineStr">
        <is>
          <t>لوازم برقی و پخت و پز دونالکس</t>
        </is>
      </c>
      <c r="K39" s="26" t="inlineStr">
        <is>
          <t>دونالکس</t>
        </is>
      </c>
      <c r="L39" s="26" t="inlineStr">
        <is>
          <t>ساده</t>
        </is>
      </c>
      <c r="M39" s="26" t="n"/>
      <c r="N39" s="26" t="inlineStr">
        <is>
          <t>3626</t>
        </is>
      </c>
      <c r="O39" s="26" t="n"/>
      <c r="P39" s="33" t="inlineStr">
        <is>
          <t>https://hosseinykala.ir/product/donalex-dn290-4in1-juicer/</t>
        </is>
      </c>
      <c r="Q39" s="26" t="n"/>
      <c r="R39" s="26" t="inlineStr">
        <is>
          <t>ثبت‌شده در سایت</t>
        </is>
      </c>
    </row>
    <row r="40" ht="21" customHeight="1" s="38">
      <c r="A40" s="23" t="inlineStr">
        <is>
          <t>همزن دستی ۴۰۰ وات توربو دونالکس مدل DN-355</t>
        </is>
      </c>
      <c r="B40" s="24" t="n">
        <v>120000000</v>
      </c>
      <c r="C40" s="24">
        <f>IF(OR(ISBLANK(B40),B40=""),"",IF($L40="متغیر","⚠️ والد متغیر نباید قیمت داشته باشد",B40/10))</f>
        <v/>
      </c>
      <c r="D40" s="24" t="n">
        <v>120000000</v>
      </c>
      <c r="E40" s="44">
        <f>IF(OR(ISBLANK(B40),B40="",ISBLANK(D40),D40="",D40&lt;=0,$L40="متغیر"),"",(B40-D40)/D40)</f>
        <v/>
      </c>
      <c r="F40" s="24" t="n">
        <v>114000000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لوازم برقی و پخت و پز</t>
        </is>
      </c>
      <c r="J40" s="26" t="inlineStr">
        <is>
          <t>لوازم برقی و پخت و پز دونالکس</t>
        </is>
      </c>
      <c r="K40" s="26" t="inlineStr">
        <is>
          <t>دونالکس</t>
        </is>
      </c>
      <c r="L40" s="26" t="inlineStr">
        <is>
          <t>ساده</t>
        </is>
      </c>
      <c r="M40" s="26" t="n"/>
      <c r="N40" s="26" t="inlineStr">
        <is>
          <t>3622</t>
        </is>
      </c>
      <c r="O40" s="26" t="n"/>
      <c r="P40" s="33" t="inlineStr">
        <is>
          <t>https://hosseinykala.ir/?p=3622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ساندویچ‌ساز و گریل ۱۴۰۰ وات دونالکس مدل DN-940 سفید</t>
        </is>
      </c>
      <c r="B41" s="24" t="n">
        <v>135000000</v>
      </c>
      <c r="C41" s="24">
        <f>IF(OR(ISBLANK(B41),B41=""),"",IF($L41="متغیر","⚠️ والد متغیر نباید قیمت داشته باشد",B41/10))</f>
        <v/>
      </c>
      <c r="D41" s="24" t="n">
        <v>135000000</v>
      </c>
      <c r="E41" s="44">
        <f>IF(OR(ISBLANK(B41),B41="",ISBLANK(D41),D41="",D41&lt;=0,$L41="متغیر"),"",(B41-D41)/D41)</f>
        <v/>
      </c>
      <c r="F41" s="24" t="n">
        <v>128250000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لوازم برقی و پخت و پز</t>
        </is>
      </c>
      <c r="J41" s="26" t="inlineStr">
        <is>
          <t>لوازم برقی و پخت و پز دونالکس</t>
        </is>
      </c>
      <c r="K41" s="26" t="inlineStr">
        <is>
          <t>دونالکس</t>
        </is>
      </c>
      <c r="L41" s="26" t="inlineStr">
        <is>
          <t>ساده</t>
        </is>
      </c>
      <c r="M41" s="26" t="n"/>
      <c r="N41" s="26" t="inlineStr">
        <is>
          <t>3617</t>
        </is>
      </c>
      <c r="O41" s="26" t="n"/>
      <c r="P41" s="33" t="inlineStr">
        <is>
          <t>https://hosseinykala.ir/?p=3617</t>
        </is>
      </c>
      <c r="Q41" s="26" t="n"/>
      <c r="R41" s="26" t="inlineStr">
        <is>
          <t>ثبت‌شده در سایت</t>
        </is>
      </c>
    </row>
    <row r="42" ht="21" customHeight="1" s="38">
      <c r="A42" s="23" t="inlineStr">
        <is>
          <t>گوشت کوب برقی دونالکس مدل DN-275</t>
        </is>
      </c>
      <c r="B42" s="24" t="n">
        <v>145000000</v>
      </c>
      <c r="C42" s="24">
        <f>IF(OR(ISBLANK(B42),B42=""),"",IF($L42="متغیر","⚠️ والد متغیر نباید قیمت داشته باشد",B42/10))</f>
        <v/>
      </c>
      <c r="D42" s="24" t="n">
        <v>145000000</v>
      </c>
      <c r="E42" s="44">
        <f>IF(OR(ISBLANK(B42),B42="",ISBLANK(D42),D42="",D42&lt;=0,$L42="متغیر"),"",(B42-D42)/D42)</f>
        <v/>
      </c>
      <c r="F42" s="24" t="n">
        <v>137750000</v>
      </c>
      <c r="G42" s="24">
        <f>IF(OR(ISBLANK(F42),F42=""),"",IF($L42="متغیر","",F42/10))</f>
        <v/>
      </c>
      <c r="H42" s="26" t="inlineStr">
        <is>
          <t>✓ موجود</t>
        </is>
      </c>
      <c r="I42" s="26" t="inlineStr">
        <is>
          <t>لوازم برقی و پخت و پز</t>
        </is>
      </c>
      <c r="J42" s="26" t="inlineStr">
        <is>
          <t>لوازم برقی و پخت و پز دونالکس</t>
        </is>
      </c>
      <c r="K42" s="26" t="inlineStr">
        <is>
          <t>دونالکس</t>
        </is>
      </c>
      <c r="L42" s="26" t="inlineStr">
        <is>
          <t>ساده</t>
        </is>
      </c>
      <c r="M42" s="26" t="n"/>
      <c r="N42" s="26" t="inlineStr">
        <is>
          <t>3032</t>
        </is>
      </c>
      <c r="O42" s="26" t="n"/>
      <c r="P42" s="33" t="inlineStr">
        <is>
          <t>https://hosseinykala.ir/?p=3032</t>
        </is>
      </c>
      <c r="Q42" s="26" t="n"/>
      <c r="R42" s="26" t="inlineStr">
        <is>
          <t>ثبت‌شده در سایت</t>
        </is>
      </c>
    </row>
    <row r="43" ht="21" customHeight="1" s="38">
      <c r="A43" s="23" t="inlineStr">
        <is>
          <t>سرخ‌کن 8 لیتر دونالکس مدل DN-950</t>
        </is>
      </c>
      <c r="B43" s="24" t="n">
        <v>357500000</v>
      </c>
      <c r="C43" s="24">
        <f>IF(OR(ISBLANK(B43),B43=""),"",IF($L43="متغیر","⚠️ والد متغیر نباید قیمت داشته باشد",B43/10))</f>
        <v/>
      </c>
      <c r="D43" s="24" t="n">
        <v>357500000</v>
      </c>
      <c r="E43" s="44">
        <f>IF(OR(ISBLANK(B43),B43="",ISBLANK(D43),D43="",D43&lt;=0,$L43="متغیر"),"",(B43-D43)/D43)</f>
        <v/>
      </c>
      <c r="F43" s="24" t="n">
        <v>339625000</v>
      </c>
      <c r="G43" s="24">
        <f>IF(OR(ISBLANK(F43),F43=""),"",IF($L43="متغیر","",F43/10))</f>
        <v/>
      </c>
      <c r="H43" s="26" t="inlineStr">
        <is>
          <t>✓ موجود</t>
        </is>
      </c>
      <c r="I43" s="26" t="inlineStr">
        <is>
          <t>لوازم برقی و پخت و پز</t>
        </is>
      </c>
      <c r="J43" s="26" t="inlineStr">
        <is>
          <t>لوازم برقی و پخت و پز دونالکس</t>
        </is>
      </c>
      <c r="K43" s="26" t="inlineStr">
        <is>
          <t>دونالکس</t>
        </is>
      </c>
      <c r="L43" s="26" t="inlineStr">
        <is>
          <t>ساده</t>
        </is>
      </c>
      <c r="M43" s="26" t="n"/>
      <c r="N43" s="26" t="inlineStr">
        <is>
          <t>3026</t>
        </is>
      </c>
      <c r="O43" s="26" t="n"/>
      <c r="P43" s="33" t="inlineStr">
        <is>
          <t>https://hosseinykala.ir/?p=3026</t>
        </is>
      </c>
      <c r="Q43" s="26" t="n"/>
      <c r="R43" s="26" t="inlineStr">
        <is>
          <t>ثبت‌شده در سایت</t>
        </is>
      </c>
    </row>
    <row r="44" ht="21" customHeight="1" s="38">
      <c r="A44" s="23" t="inlineStr">
        <is>
          <t>سرخ کن بدون روغن دونالکس مدل DN-970 استیل</t>
        </is>
      </c>
      <c r="B44" s="24" t="n"/>
      <c r="C44" s="24">
        <f>IF(OR(ISBLANK(B44),B44=""),"",IF($L44="متغیر","⚠️ والد متغیر نباید قیمت داشته باشد",B44/10))</f>
        <v/>
      </c>
      <c r="D44" s="24" t="n"/>
      <c r="E44" s="44">
        <f>IF(OR(ISBLANK(B44),B44="",ISBLANK(D44),D44="",D44&lt;=0,$L44="متغیر"),"",(B44-D44)/D44)</f>
        <v/>
      </c>
      <c r="F44" s="24" t="n"/>
      <c r="G44" s="24">
        <f>IF(OR(ISBLANK(F44),F44=""),"",IF($L44="متغیر","",F44/10))</f>
        <v/>
      </c>
      <c r="H44" s="26" t="inlineStr">
        <is>
          <t>✗ ناموجود</t>
        </is>
      </c>
      <c r="I44" s="26" t="inlineStr">
        <is>
          <t>لوازم برقی و پخت و پز</t>
        </is>
      </c>
      <c r="J44" s="26" t="inlineStr">
        <is>
          <t>لوازم برقی و پخت و پز دونالکس</t>
        </is>
      </c>
      <c r="K44" s="26" t="inlineStr">
        <is>
          <t>دونالکس</t>
        </is>
      </c>
      <c r="L44" s="26" t="inlineStr">
        <is>
          <t>ساده</t>
        </is>
      </c>
      <c r="M44" s="26" t="n"/>
      <c r="N44" s="26" t="n"/>
      <c r="O44" s="26" t="n"/>
      <c r="P44" s="33" t="n"/>
      <c r="Q44" s="26" t="n"/>
      <c r="R44" s="26" t="inlineStr">
        <is>
          <t>فعلا دست نگه دار</t>
        </is>
      </c>
    </row>
    <row r="45" ht="21" customHeight="1" s="38">
      <c r="A45" s="23" t="inlineStr">
        <is>
          <t>آبمیوه گیری ۲۹۰ دونالکس</t>
        </is>
      </c>
      <c r="B45" s="24" t="n"/>
      <c r="C45" s="24">
        <f>IF(OR(ISBLANK(B45),B45=""),"",IF($L45="متغیر","⚠️ والد متغیر نباید قیمت داشته باشد",B45/10))</f>
        <v/>
      </c>
      <c r="D45" s="24" t="n"/>
      <c r="E45" s="44">
        <f>IF(OR(ISBLANK(B45),B45="",ISBLANK(D45),D45="",D45&lt;=0,$L45="متغیر"),"",(B45-D45)/D45)</f>
        <v/>
      </c>
      <c r="F45" s="24" t="n"/>
      <c r="G45" s="24">
        <f>IF(OR(ISBLANK(F45),F45=""),"",IF($L45="متغیر","",F45/10))</f>
        <v/>
      </c>
      <c r="H45" s="26" t="inlineStr">
        <is>
          <t>✗ ناموجود</t>
        </is>
      </c>
      <c r="I45" s="26" t="inlineStr">
        <is>
          <t>لوازم برقی و پخت و پز</t>
        </is>
      </c>
      <c r="J45" s="26" t="inlineStr">
        <is>
          <t>لوازم برقی و پخت و پز دونالکس</t>
        </is>
      </c>
      <c r="K45" s="26" t="inlineStr">
        <is>
          <t>دونالکس</t>
        </is>
      </c>
      <c r="L45" s="26" t="inlineStr">
        <is>
          <t>ساده</t>
        </is>
      </c>
      <c r="M45" s="26" t="n"/>
      <c r="N45" s="26" t="n"/>
      <c r="O45" s="26" t="n"/>
      <c r="P45" s="33" t="n"/>
      <c r="Q45" s="26" t="n"/>
      <c r="R45" s="26" t="inlineStr">
        <is>
          <t>فعلا دست نگه دار</t>
        </is>
      </c>
    </row>
    <row r="46" ht="21" customHeight="1" s="38">
      <c r="A46" s="23" t="inlineStr">
        <is>
          <t>ساندویچ ساز دونالکس</t>
        </is>
      </c>
      <c r="B46" s="24" t="n"/>
      <c r="C46" s="24">
        <f>IF(OR(ISBLANK(B46),B46=""),"",IF($L46="متغیر","⚠️ والد متغیر نباید قیمت داشته باشد",B46/10))</f>
        <v/>
      </c>
      <c r="D46" s="24" t="n"/>
      <c r="E46" s="44">
        <f>IF(OR(ISBLANK(B46),B46="",ISBLANK(D46),D46="",D46&lt;=0,$L46="متغیر"),"",(B46-D46)/D46)</f>
        <v/>
      </c>
      <c r="F46" s="24" t="n"/>
      <c r="G46" s="24">
        <f>IF(OR(ISBLANK(F46),F46=""),"",IF($L46="متغیر","",F46/10))</f>
        <v/>
      </c>
      <c r="H46" s="26" t="inlineStr">
        <is>
          <t>✗ ناموجود</t>
        </is>
      </c>
      <c r="I46" s="26" t="inlineStr">
        <is>
          <t>لوازم برقی و پخت و پز</t>
        </is>
      </c>
      <c r="J46" s="26" t="inlineStr">
        <is>
          <t>لوازم برقی و پخت و پز دونالکس</t>
        </is>
      </c>
      <c r="K46" s="26" t="inlineStr">
        <is>
          <t>دونالکس</t>
        </is>
      </c>
      <c r="L46" s="26" t="inlineStr">
        <is>
          <t>ساده</t>
        </is>
      </c>
      <c r="M46" s="26" t="n"/>
      <c r="N46" s="26" t="n"/>
      <c r="O46" s="26" t="n"/>
      <c r="P46" s="33" t="n"/>
      <c r="Q46" s="26" t="n"/>
      <c r="R46" s="26" t="inlineStr">
        <is>
          <t>فعلا دست نگه دار</t>
        </is>
      </c>
    </row>
    <row r="47" ht="21.95" customHeight="1" s="38">
      <c r="A47" s="39" t="inlineStr">
        <is>
          <t xml:space="preserve">  📂 لوازم برقی و پخت و پز  ◀  وستینگهاوس</t>
        </is>
      </c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1" t="n"/>
    </row>
    <row r="48" ht="21" customHeight="1" s="38">
      <c r="A48" s="15" t="inlineStr">
        <is>
          <t>همزن دستی ۳۵۰ وات رترو وستینگهاوس</t>
        </is>
      </c>
      <c r="B48" s="16" t="n"/>
      <c r="C48" s="16">
        <f>IF(OR(B48="",B48=0),"",B48/10)</f>
        <v/>
      </c>
      <c r="D48" s="16" t="n"/>
      <c r="E48" s="42">
        <f>IF(ISNUMBER(D48),(B48-D48)/D48,"")</f>
        <v/>
      </c>
      <c r="F48" s="16" t="n"/>
      <c r="G48" s="16">
        <f>IF(OR(F48="",F48=0),"",F48/10)</f>
        <v/>
      </c>
      <c r="H48" s="18" t="inlineStr">
        <is>
          <t>✓ موجود</t>
        </is>
      </c>
      <c r="I48" s="18" t="inlineStr">
        <is>
          <t>لوازم برقی و پخت و پز</t>
        </is>
      </c>
      <c r="J48" s="18" t="inlineStr">
        <is>
          <t>لوازم برقی و پخت و پز وستینگهاوس</t>
        </is>
      </c>
      <c r="K48" s="18" t="inlineStr">
        <is>
          <t>وستینگهاوس</t>
        </is>
      </c>
      <c r="L48" s="18" t="inlineStr">
        <is>
          <t>متغیر</t>
        </is>
      </c>
      <c r="M48" s="18" t="inlineStr">
        <is>
          <t>شامل 2 تنوع</t>
        </is>
      </c>
      <c r="N48" s="18" t="inlineStr">
        <is>
          <t>3645</t>
        </is>
      </c>
      <c r="O48" s="18" t="n"/>
      <c r="P48" s="31" t="inlineStr">
        <is>
          <t>https://hosseinykala.ir/?p=3645</t>
        </is>
      </c>
      <c r="Q48" s="18" t="n"/>
      <c r="R48" s="18" t="inlineStr">
        <is>
          <t>ثبت‌شده در سایت</t>
        </is>
      </c>
    </row>
    <row r="49" ht="18.95" customHeight="1" s="38">
      <c r="A49" s="19" t="inlineStr">
        <is>
          <t>↳ رنگ: کرم</t>
        </is>
      </c>
      <c r="B49" s="20" t="n">
        <v>330000000</v>
      </c>
      <c r="C49" s="20">
        <f>IF(OR(ISBLANK(B49),B49=""),"",IF($L49="متغیر","⚠️ والد متغیر نباید قیمت داشته باشد",B49/10))</f>
        <v/>
      </c>
      <c r="D49" s="20" t="n">
        <v>330000000</v>
      </c>
      <c r="E49" s="43">
        <f>IF(OR(ISBLANK(B49),B49="",ISBLANK(D49),D49="",D49&lt;=0,$L49="متغیر"),"",(B49-D49)/D49)</f>
        <v/>
      </c>
      <c r="F49" s="20" t="n">
        <v>313500000</v>
      </c>
      <c r="G49" s="20">
        <f>IF(OR(ISBLANK(F49),F49=""),"",IF($L49="متغیر","",F49/10))</f>
        <v/>
      </c>
      <c r="H49" s="22" t="inlineStr">
        <is>
          <t>✓ موجود</t>
        </is>
      </c>
      <c r="I49" s="22" t="inlineStr">
        <is>
          <t>لوازم برقی و پخت و پز</t>
        </is>
      </c>
      <c r="J49" s="22" t="inlineStr">
        <is>
          <t>لوازم برقی و پخت و پز وستینگهاوس</t>
        </is>
      </c>
      <c r="K49" s="22" t="inlineStr">
        <is>
          <t>وستینگهاوس</t>
        </is>
      </c>
      <c r="L49" s="22" t="inlineStr">
        <is>
          <t>تنوع</t>
        </is>
      </c>
      <c r="M49" s="22" t="inlineStr">
        <is>
          <t>رنگ: کرم</t>
        </is>
      </c>
      <c r="N49" s="22" t="inlineStr">
        <is>
          <t>3645</t>
        </is>
      </c>
      <c r="O49" s="22" t="n">
        <v>3700</v>
      </c>
      <c r="P49" s="32" t="inlineStr">
        <is>
          <t>https://hosseinykala.ir/?p=3645</t>
        </is>
      </c>
      <c r="Q49" s="22" t="n"/>
      <c r="R49" s="22" t="inlineStr">
        <is>
          <t>ثبت‌شده در سایت</t>
        </is>
      </c>
    </row>
    <row r="50" ht="18.95" customHeight="1" s="38">
      <c r="A50" s="19" t="inlineStr">
        <is>
          <t>↳ رنگ: آبی</t>
        </is>
      </c>
      <c r="B50" s="20" t="n">
        <v>330000000</v>
      </c>
      <c r="C50" s="20">
        <f>IF(OR(ISBLANK(B50),B50=""),"",IF($L50="متغیر","⚠️ والد متغیر نباید قیمت داشته باشد",B50/10))</f>
        <v/>
      </c>
      <c r="D50" s="20" t="n">
        <v>330000000</v>
      </c>
      <c r="E50" s="43">
        <f>IF(OR(ISBLANK(B50),B50="",ISBLANK(D50),D50="",D50&lt;=0,$L50="متغیر"),"",(B50-D50)/D50)</f>
        <v/>
      </c>
      <c r="F50" s="20" t="n">
        <v>313500000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لوازم برقی و پخت و پز</t>
        </is>
      </c>
      <c r="J50" s="22" t="inlineStr">
        <is>
          <t>لوازم برقی و پخت و پز وستینگهاوس</t>
        </is>
      </c>
      <c r="K50" s="22" t="inlineStr">
        <is>
          <t>وستینگهاوس</t>
        </is>
      </c>
      <c r="L50" s="22" t="inlineStr">
        <is>
          <t>تنوع</t>
        </is>
      </c>
      <c r="M50" s="22" t="inlineStr">
        <is>
          <t>رنگ: آبی</t>
        </is>
      </c>
      <c r="N50" s="22" t="inlineStr">
        <is>
          <t>3645</t>
        </is>
      </c>
      <c r="O50" s="22" t="n">
        <v>3699</v>
      </c>
      <c r="P50" s="32" t="inlineStr">
        <is>
          <t>https://hosseinykala.ir/?p=3645</t>
        </is>
      </c>
      <c r="Q50" s="22" t="n"/>
      <c r="R50" s="22" t="inlineStr">
        <is>
          <t>ثبت‌شده در سایت</t>
        </is>
      </c>
    </row>
    <row r="51" ht="21" customHeight="1" s="38">
      <c r="A51" s="15" t="inlineStr">
        <is>
          <t>توستر نان ۲ شیار رترو وستینگهاوس</t>
        </is>
      </c>
      <c r="B51" s="16" t="n"/>
      <c r="C51" s="16">
        <f>IF(OR(B51="",B51=0),"",B51/10)</f>
        <v/>
      </c>
      <c r="D51" s="16" t="n"/>
      <c r="E51" s="42">
        <f>IF(ISNUMBER(D51),(B51-D51)/D51,"")</f>
        <v/>
      </c>
      <c r="F51" s="16" t="n"/>
      <c r="G51" s="16">
        <f>IF(OR(F51="",F51=0),"",F51/10)</f>
        <v/>
      </c>
      <c r="H51" s="18" t="inlineStr">
        <is>
          <t>✓ موجود</t>
        </is>
      </c>
      <c r="I51" s="18" t="inlineStr">
        <is>
          <t>لوازم برقی و پخت و پز</t>
        </is>
      </c>
      <c r="J51" s="18" t="inlineStr">
        <is>
          <t>لوازم برقی و پخت و پز وستینگهاوس</t>
        </is>
      </c>
      <c r="K51" s="18" t="inlineStr">
        <is>
          <t>وستینگهاوس</t>
        </is>
      </c>
      <c r="L51" s="18" t="inlineStr">
        <is>
          <t>متغیر</t>
        </is>
      </c>
      <c r="M51" s="18" t="inlineStr">
        <is>
          <t>شامل 3 تنوع</t>
        </is>
      </c>
      <c r="N51" s="18" t="inlineStr">
        <is>
          <t>3637</t>
        </is>
      </c>
      <c r="O51" s="18" t="n"/>
      <c r="P51" s="31" t="inlineStr">
        <is>
          <t>https://hosseinykala.ir/?p=3637</t>
        </is>
      </c>
      <c r="Q51" s="18" t="n"/>
      <c r="R51" s="18" t="inlineStr">
        <is>
          <t>ثبت‌شده در سایت</t>
        </is>
      </c>
    </row>
    <row r="52" ht="18.95" customHeight="1" s="38">
      <c r="A52" s="19" t="inlineStr">
        <is>
          <t>↳ رنگ: قرمز</t>
        </is>
      </c>
      <c r="B52" s="20" t="n">
        <v>370000000</v>
      </c>
      <c r="C52" s="20">
        <f>IF(OR(ISBLANK(B52),B52=""),"",IF($L52="متغیر","⚠️ والد متغیر نباید قیمت داشته باشد",B52/10))</f>
        <v/>
      </c>
      <c r="D52" s="20" t="n">
        <v>370000000</v>
      </c>
      <c r="E52" s="43">
        <f>IF(OR(ISBLANK(B52),B52="",ISBLANK(D52),D52="",D52&lt;=0,$L52="متغیر"),"",(B52-D52)/D52)</f>
        <v/>
      </c>
      <c r="F52" s="20" t="n">
        <v>351500000</v>
      </c>
      <c r="G52" s="20">
        <f>IF(OR(ISBLANK(F52),F52=""),"",IF($L52="متغیر","",F52/10))</f>
        <v/>
      </c>
      <c r="H52" s="22" t="inlineStr">
        <is>
          <t>✓ موجود</t>
        </is>
      </c>
      <c r="I52" s="22" t="inlineStr">
        <is>
          <t>لوازم برقی و پخت و پز</t>
        </is>
      </c>
      <c r="J52" s="22" t="inlineStr">
        <is>
          <t>لوازم برقی و پخت و پز وستینگهاوس</t>
        </is>
      </c>
      <c r="K52" s="22" t="inlineStr">
        <is>
          <t>وستینگهاوس</t>
        </is>
      </c>
      <c r="L52" s="22" t="inlineStr">
        <is>
          <t>تنوع</t>
        </is>
      </c>
      <c r="M52" s="22" t="inlineStr">
        <is>
          <t>رنگ: قرمز</t>
        </is>
      </c>
      <c r="N52" s="22" t="inlineStr">
        <is>
          <t>3637</t>
        </is>
      </c>
      <c r="O52" s="22" t="n">
        <v>3695</v>
      </c>
      <c r="P52" s="32" t="inlineStr">
        <is>
          <t>https://hosseinykala.ir/?p=3637</t>
        </is>
      </c>
      <c r="Q52" s="22" t="n"/>
      <c r="R52" s="22" t="inlineStr">
        <is>
          <t>ثبت‌شده در سایت</t>
        </is>
      </c>
    </row>
    <row r="53" ht="18.95" customHeight="1" s="38">
      <c r="A53" s="19" t="inlineStr">
        <is>
          <t>↳ رنگ: کرم</t>
        </is>
      </c>
      <c r="B53" s="20" t="n">
        <v>340000000</v>
      </c>
      <c r="C53" s="20">
        <f>IF(OR(ISBLANK(B53),B53=""),"",IF($L53="متغیر","⚠️ والد متغیر نباید قیمت داشته باشد",B53/10))</f>
        <v/>
      </c>
      <c r="D53" s="20" t="n">
        <v>340000000</v>
      </c>
      <c r="E53" s="43">
        <f>IF(OR(ISBLANK(B53),B53="",ISBLANK(D53),D53="",D53&lt;=0,$L53="متغیر"),"",(B53-D53)/D53)</f>
        <v/>
      </c>
      <c r="F53" s="20" t="n">
        <v>323000000</v>
      </c>
      <c r="G53" s="20">
        <f>IF(OR(ISBLANK(F53),F53=""),"",IF($L53="متغیر","",F53/10))</f>
        <v/>
      </c>
      <c r="H53" s="22" t="inlineStr">
        <is>
          <t>✓ موجود</t>
        </is>
      </c>
      <c r="I53" s="22" t="inlineStr">
        <is>
          <t>لوازم برقی و پخت و پز</t>
        </is>
      </c>
      <c r="J53" s="22" t="inlineStr">
        <is>
          <t>لوازم برقی و پخت و پز وستینگهاوس</t>
        </is>
      </c>
      <c r="K53" s="22" t="inlineStr">
        <is>
          <t>وستینگهاوس</t>
        </is>
      </c>
      <c r="L53" s="22" t="inlineStr">
        <is>
          <t>تنوع</t>
        </is>
      </c>
      <c r="M53" s="22" t="inlineStr">
        <is>
          <t>رنگ: کرم</t>
        </is>
      </c>
      <c r="N53" s="22" t="inlineStr">
        <is>
          <t>3637</t>
        </is>
      </c>
      <c r="O53" s="22" t="n">
        <v>3694</v>
      </c>
      <c r="P53" s="32" t="inlineStr">
        <is>
          <t>https://hosseinykala.ir/?p=3637</t>
        </is>
      </c>
      <c r="Q53" s="22" t="n"/>
      <c r="R53" s="22" t="inlineStr">
        <is>
          <t>ثبت‌شده در سایت</t>
        </is>
      </c>
    </row>
    <row r="54" ht="18.95" customHeight="1" s="38">
      <c r="A54" s="19" t="inlineStr">
        <is>
          <t>↳ رنگ: آبی</t>
        </is>
      </c>
      <c r="B54" s="20" t="n">
        <v>340000000</v>
      </c>
      <c r="C54" s="20">
        <f>IF(OR(ISBLANK(B54),B54=""),"",IF($L54="متغیر","⚠️ والد متغیر نباید قیمت داشته باشد",B54/10))</f>
        <v/>
      </c>
      <c r="D54" s="20" t="n">
        <v>340000000</v>
      </c>
      <c r="E54" s="43">
        <f>IF(OR(ISBLANK(B54),B54="",ISBLANK(D54),D54="",D54&lt;=0,$L54="متغیر"),"",(B54-D54)/D54)</f>
        <v/>
      </c>
      <c r="F54" s="20" t="n">
        <v>323000000</v>
      </c>
      <c r="G54" s="20">
        <f>IF(OR(ISBLANK(F54),F54=""),"",IF($L54="متغیر","",F54/10))</f>
        <v/>
      </c>
      <c r="H54" s="22" t="inlineStr">
        <is>
          <t>✓ موجود</t>
        </is>
      </c>
      <c r="I54" s="22" t="inlineStr">
        <is>
          <t>لوازم برقی و پخت و پز</t>
        </is>
      </c>
      <c r="J54" s="22" t="inlineStr">
        <is>
          <t>لوازم برقی و پخت و پز وستینگهاوس</t>
        </is>
      </c>
      <c r="K54" s="22" t="inlineStr">
        <is>
          <t>وستینگهاوس</t>
        </is>
      </c>
      <c r="L54" s="22" t="inlineStr">
        <is>
          <t>تنوع</t>
        </is>
      </c>
      <c r="M54" s="22" t="inlineStr">
        <is>
          <t>رنگ: آبی</t>
        </is>
      </c>
      <c r="N54" s="22" t="inlineStr">
        <is>
          <t>3637</t>
        </is>
      </c>
      <c r="O54" s="22" t="n">
        <v>3693</v>
      </c>
      <c r="P54" s="32" t="inlineStr">
        <is>
          <t>https://hosseinykala.ir/?p=3637</t>
        </is>
      </c>
      <c r="Q54" s="22" t="n"/>
      <c r="R54" s="22" t="inlineStr">
        <is>
          <t>ثبت‌شده در سایت</t>
        </is>
      </c>
    </row>
    <row r="55" ht="21" customHeight="1" s="38">
      <c r="A55" s="23" t="inlineStr">
        <is>
          <t>گوشت کوب برقی رترو وستینگهاوس قرمز</t>
        </is>
      </c>
      <c r="B55" s="24" t="n">
        <v>250000000</v>
      </c>
      <c r="C55" s="24">
        <f>IF(OR(ISBLANK(B55),B55=""),"",IF($L55="متغیر","⚠️ والد متغیر نباید قیمت داشته باشد",B55/10))</f>
        <v/>
      </c>
      <c r="D55" s="24" t="n">
        <v>250000000</v>
      </c>
      <c r="E55" s="44">
        <f>IF(OR(ISBLANK(B55),B55="",ISBLANK(D55),D55="",D55&lt;=0,$L55="متغیر"),"",(B55-D55)/D55)</f>
        <v/>
      </c>
      <c r="F55" s="24" t="n">
        <v>237500000</v>
      </c>
      <c r="G55" s="24">
        <f>IF(OR(ISBLANK(F55),F55=""),"",IF($L55="متغیر","",F55/10))</f>
        <v/>
      </c>
      <c r="H55" s="26" t="inlineStr">
        <is>
          <t>✓ موجود</t>
        </is>
      </c>
      <c r="I55" s="26" t="inlineStr">
        <is>
          <t>لوازم برقی و پخت و پز</t>
        </is>
      </c>
      <c r="J55" s="26" t="inlineStr">
        <is>
          <t>لوازم برقی و پخت و پز وستینگهاوس</t>
        </is>
      </c>
      <c r="K55" s="26" t="inlineStr">
        <is>
          <t>وستینگهاوس</t>
        </is>
      </c>
      <c r="L55" s="26" t="inlineStr">
        <is>
          <t>ساده</t>
        </is>
      </c>
      <c r="M55" s="26" t="n"/>
      <c r="N55" s="26" t="n">
        <v>4262</v>
      </c>
      <c r="O55" s="26" t="n"/>
      <c r="P55" s="33" t="inlineStr">
        <is>
          <t>https://hosseinykala.ir/product/westinghouse-retro-hand-blender-red/</t>
        </is>
      </c>
      <c r="Q55" s="26" t="n"/>
      <c r="R55" s="26" t="inlineStr">
        <is>
          <t>ثبت‌شده در سایت</t>
        </is>
      </c>
    </row>
    <row r="56" ht="21.95" customHeight="1" s="38">
      <c r="A56" s="39" t="inlineStr">
        <is>
          <t xml:space="preserve">  📂 لوازم برقی و پخت و پز  ◀  آلتون</t>
        </is>
      </c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1" t="n"/>
    </row>
    <row r="57" ht="21" customHeight="1" s="38">
      <c r="A57" s="23" t="inlineStr">
        <is>
          <t>اجاق گاز صفحه ای آلتون مدل S517N</t>
        </is>
      </c>
      <c r="B57" s="24" t="n">
        <v>419900000</v>
      </c>
      <c r="C57" s="24">
        <f>IF(OR(ISBLANK(B57),B57=""),"",IF($L57="متغیر","⚠️ والد متغیر نباید قیمت داشته باشد",B57/10))</f>
        <v/>
      </c>
      <c r="D57" s="24" t="n">
        <v>419900000</v>
      </c>
      <c r="E57" s="44">
        <f>IF(OR(ISBLANK(B57),B57="",ISBLANK(D57),D57="",D57&lt;=0,$L57="متغیر"),"",(B57-D57)/D57)</f>
        <v/>
      </c>
      <c r="F57" s="24" t="n">
        <v>398905000</v>
      </c>
      <c r="G57" s="24">
        <f>IF(OR(ISBLANK(F57),F57=""),"",IF($L57="متغیر","",F57/10))</f>
        <v/>
      </c>
      <c r="H57" s="26" t="inlineStr">
        <is>
          <t>✓ موجود</t>
        </is>
      </c>
      <c r="I57" s="26" t="inlineStr">
        <is>
          <t>لوازم برقی و پخت و پز</t>
        </is>
      </c>
      <c r="J57" s="26" t="inlineStr">
        <is>
          <t>لوازم برقی و پخت و پز آلتون</t>
        </is>
      </c>
      <c r="K57" s="26" t="inlineStr">
        <is>
          <t>آلتون</t>
        </is>
      </c>
      <c r="L57" s="26" t="inlineStr">
        <is>
          <t>ساده</t>
        </is>
      </c>
      <c r="M57" s="26" t="n"/>
      <c r="N57" s="26" t="inlineStr">
        <is>
          <t>3383</t>
        </is>
      </c>
      <c r="O57" s="26" t="n"/>
      <c r="P57" s="33" t="inlineStr">
        <is>
          <t>https://hosseinykala.ir/?p=3383</t>
        </is>
      </c>
      <c r="Q57" s="26" t="n"/>
      <c r="R57" s="26" t="inlineStr">
        <is>
          <t>ثبت‌شده در سایت</t>
        </is>
      </c>
    </row>
    <row r="58" ht="21" customHeight="1" s="38">
      <c r="A58" s="15" t="inlineStr">
        <is>
          <t>اجاق گاز 5 شعله آلتون مدل MD5S</t>
        </is>
      </c>
      <c r="B58" s="16" t="n"/>
      <c r="C58" s="16">
        <f>IF(OR(B58="",B58=0),"",B58/10)</f>
        <v/>
      </c>
      <c r="D58" s="16" t="n"/>
      <c r="E58" s="42">
        <f>IF(ISNUMBER(D58),(B58-D58)/D58,"")</f>
        <v/>
      </c>
      <c r="F58" s="16" t="n"/>
      <c r="G58" s="16">
        <f>IF(OR(F58="",F58=0),"",F58/10)</f>
        <v/>
      </c>
      <c r="H58" s="18" t="inlineStr">
        <is>
          <t>✓ موجود</t>
        </is>
      </c>
      <c r="I58" s="18" t="inlineStr">
        <is>
          <t>لوازم برقی و پخت و پز</t>
        </is>
      </c>
      <c r="J58" s="18" t="inlineStr">
        <is>
          <t>لوازم برقی و پخت و پز آلتون</t>
        </is>
      </c>
      <c r="K58" s="18" t="inlineStr">
        <is>
          <t>آلتون</t>
        </is>
      </c>
      <c r="L58" s="18" t="inlineStr">
        <is>
          <t>متغیر</t>
        </is>
      </c>
      <c r="M58" s="18" t="inlineStr">
        <is>
          <t>شامل 2 تنوع</t>
        </is>
      </c>
      <c r="N58" s="18" t="inlineStr">
        <is>
          <t>3380</t>
        </is>
      </c>
      <c r="O58" s="18" t="n"/>
      <c r="P58" s="31" t="inlineStr">
        <is>
          <t>https://hosseinykala.ir/?p=3380</t>
        </is>
      </c>
      <c r="Q58" s="18" t="n"/>
      <c r="R58" s="18" t="inlineStr">
        <is>
          <t>ثبت‌شده در سایت</t>
        </is>
      </c>
    </row>
    <row r="59" ht="18.95" customHeight="1" s="38">
      <c r="A59" s="19" t="inlineStr">
        <is>
          <t>↳ رنگ: استیل</t>
        </is>
      </c>
      <c r="B59" s="20" t="n">
        <v>1250000000</v>
      </c>
      <c r="C59" s="20">
        <f>IF(OR(ISBLANK(B59),B59=""),"",IF($L59="متغیر","⚠️ والد متغیر نباید قیمت داشته باشد",B59/10))</f>
        <v/>
      </c>
      <c r="D59" s="20" t="n">
        <v>1250000000</v>
      </c>
      <c r="E59" s="43">
        <f>IF(OR(ISBLANK(B59),B59="",ISBLANK(D59),D59="",D59&lt;=0,$L59="متغیر"),"",(B59-D59)/D59)</f>
        <v/>
      </c>
      <c r="F59" s="20" t="n">
        <v>1187500000</v>
      </c>
      <c r="G59" s="20">
        <f>IF(OR(ISBLANK(F59),F59=""),"",IF($L59="متغیر","",F59/10))</f>
        <v/>
      </c>
      <c r="H59" s="22" t="inlineStr">
        <is>
          <t>✓ موجود</t>
        </is>
      </c>
      <c r="I59" s="22" t="inlineStr">
        <is>
          <t>لوازم برقی و پخت و پز</t>
        </is>
      </c>
      <c r="J59" s="22" t="inlineStr">
        <is>
          <t>لوازم برقی و پخت و پز آلتون</t>
        </is>
      </c>
      <c r="K59" s="22" t="inlineStr">
        <is>
          <t>آلتون</t>
        </is>
      </c>
      <c r="L59" s="22" t="inlineStr">
        <is>
          <t>تنوع</t>
        </is>
      </c>
      <c r="M59" s="22" t="inlineStr">
        <is>
          <t>رنگ: استیل</t>
        </is>
      </c>
      <c r="N59" s="22" t="inlineStr">
        <is>
          <t>3380</t>
        </is>
      </c>
      <c r="O59" s="22" t="n">
        <v>3817</v>
      </c>
      <c r="P59" s="32" t="inlineStr">
        <is>
          <t>https://hosseinykala.ir/?p=3380</t>
        </is>
      </c>
      <c r="Q59" s="22" t="n"/>
      <c r="R59" s="22" t="inlineStr">
        <is>
          <t>ثبت‌شده در سایت</t>
        </is>
      </c>
    </row>
    <row r="60" ht="18.95" customHeight="1" s="38">
      <c r="A60" s="19" t="inlineStr">
        <is>
          <t>↳ رنگ: سفید</t>
        </is>
      </c>
      <c r="B60" s="20" t="n">
        <v>1200000000</v>
      </c>
      <c r="C60" s="20">
        <f>IF(OR(ISBLANK(B60),B60=""),"",IF($L60="متغیر","⚠️ والد متغیر نباید قیمت داشته باشد",B60/10))</f>
        <v/>
      </c>
      <c r="D60" s="20" t="n">
        <v>1200000000</v>
      </c>
      <c r="E60" s="43">
        <f>IF(OR(ISBLANK(B60),B60="",ISBLANK(D60),D60="",D60&lt;=0,$L60="متغیر"),"",(B60-D60)/D60)</f>
        <v/>
      </c>
      <c r="F60" s="20" t="n">
        <v>1140000000</v>
      </c>
      <c r="G60" s="20">
        <f>IF(OR(ISBLANK(F60),F60=""),"",IF($L60="متغیر","",F60/10))</f>
        <v/>
      </c>
      <c r="H60" s="22" t="inlineStr">
        <is>
          <t>✓ موجود</t>
        </is>
      </c>
      <c r="I60" s="22" t="inlineStr">
        <is>
          <t>لوازم برقی و پخت و پز</t>
        </is>
      </c>
      <c r="J60" s="22" t="inlineStr">
        <is>
          <t>لوازم برقی و پخت و پز آلتون</t>
        </is>
      </c>
      <c r="K60" s="22" t="inlineStr">
        <is>
          <t>آلتون</t>
        </is>
      </c>
      <c r="L60" s="22" t="inlineStr">
        <is>
          <t>تنوع</t>
        </is>
      </c>
      <c r="M60" s="22" t="inlineStr">
        <is>
          <t>رنگ: سفید</t>
        </is>
      </c>
      <c r="N60" s="22" t="inlineStr">
        <is>
          <t>3380</t>
        </is>
      </c>
      <c r="O60" s="22" t="n">
        <v>3816</v>
      </c>
      <c r="P60" s="32" t="inlineStr">
        <is>
          <t>https://hosseinykala.ir/?p=3380</t>
        </is>
      </c>
      <c r="Q60" s="22" t="n"/>
      <c r="R60" s="22" t="inlineStr">
        <is>
          <t>ثبت‌شده در سایت</t>
        </is>
      </c>
    </row>
    <row r="61" ht="21" customHeight="1" s="38">
      <c r="A61" s="23" t="inlineStr">
        <is>
          <t>گاز صفحه ای استیل آلتون مدل SG518</t>
        </is>
      </c>
      <c r="B61" s="24" t="n"/>
      <c r="C61" s="24">
        <f>IF(OR(ISBLANK(B61),B61=""),"",IF($L61="متغیر","⚠️ والد متغیر نباید قیمت داشته باشد",B61/10))</f>
        <v/>
      </c>
      <c r="D61" s="24" t="n"/>
      <c r="E61" s="44">
        <f>IF(OR(ISBLANK(B61),B61="",ISBLANK(D61),D61="",D61&lt;=0,$L61="متغیر"),"",(B61-D61)/D61)</f>
        <v/>
      </c>
      <c r="F61" s="24" t="n"/>
      <c r="G61" s="24">
        <f>IF(OR(ISBLANK(F61),F61=""),"",IF($L61="متغیر","",F61/10))</f>
        <v/>
      </c>
      <c r="H61" s="26" t="inlineStr">
        <is>
          <t>✗ ناموجود</t>
        </is>
      </c>
      <c r="I61" s="26" t="inlineStr">
        <is>
          <t>لوازم برقی و پخت و پز</t>
        </is>
      </c>
      <c r="J61" s="26" t="inlineStr">
        <is>
          <t>لوازم برقی و پخت و پز آلتون</t>
        </is>
      </c>
      <c r="K61" s="26" t="inlineStr">
        <is>
          <t>آلتون</t>
        </is>
      </c>
      <c r="L61" s="26" t="inlineStr">
        <is>
          <t>ساده</t>
        </is>
      </c>
      <c r="M61" s="26" t="n"/>
      <c r="N61" s="26" t="inlineStr">
        <is>
          <t>4081</t>
        </is>
      </c>
      <c r="O61" s="26" t="n"/>
      <c r="P61" s="33" t="inlineStr">
        <is>
          <t>https://hosseinykala.ir/product/alton-sg518-steel-built-in-gas-stove/</t>
        </is>
      </c>
      <c r="Q61" s="26" t="n"/>
      <c r="R61" s="26" t="inlineStr">
        <is>
          <t>ثبت‌شده در سایت</t>
        </is>
      </c>
    </row>
    <row r="62" ht="21" customHeight="1" s="38">
      <c r="A62" s="23" t="inlineStr">
        <is>
          <t>فر توکار آلتون مدل 7303</t>
        </is>
      </c>
      <c r="B62" s="24" t="n"/>
      <c r="C62" s="24">
        <f>IF(OR(ISBLANK(B62),B62=""),"",IF($L62="متغیر","⚠️ والد متغیر نباید قیمت داشته باشد",B62/10))</f>
        <v/>
      </c>
      <c r="D62" s="24" t="n"/>
      <c r="E62" s="44">
        <f>IF(OR(ISBLANK(B62),B62="",ISBLANK(D62),D62="",D62&lt;=0,$L62="متغیر"),"",(B62-D62)/D62)</f>
        <v/>
      </c>
      <c r="F62" s="24" t="n"/>
      <c r="G62" s="24">
        <f>IF(OR(ISBLANK(F62),F62=""),"",IF($L62="متغیر","",F62/10))</f>
        <v/>
      </c>
      <c r="H62" s="26" t="inlineStr">
        <is>
          <t>✗ ناموجود</t>
        </is>
      </c>
      <c r="I62" s="26" t="inlineStr">
        <is>
          <t>لوازم برقی و پخت و پز</t>
        </is>
      </c>
      <c r="J62" s="26" t="inlineStr">
        <is>
          <t>لوازم برقی و پخت و پز آلتون</t>
        </is>
      </c>
      <c r="K62" s="26" t="inlineStr">
        <is>
          <t>آلتون</t>
        </is>
      </c>
      <c r="L62" s="26" t="inlineStr">
        <is>
          <t>ساده</t>
        </is>
      </c>
      <c r="M62" s="26" t="n"/>
      <c r="N62" s="26" t="inlineStr">
        <is>
          <t>4083</t>
        </is>
      </c>
      <c r="O62" s="26" t="n"/>
      <c r="P62" s="33" t="inlineStr">
        <is>
          <t>https://hosseinykala.ir/product/alton-7303-built-in-oven/</t>
        </is>
      </c>
      <c r="Q62" s="26" t="n"/>
      <c r="R62" s="26" t="inlineStr">
        <is>
          <t>ثبت‌شده در سایت</t>
        </is>
      </c>
    </row>
    <row r="63" ht="21" customHeight="1" s="38">
      <c r="A63" s="23" t="inlineStr">
        <is>
          <t>فر گاز فردار آلتون مدل MDS</t>
        </is>
      </c>
      <c r="B63" s="24" t="n"/>
      <c r="C63" s="24">
        <f>IF(OR(ISBLANK(B63),B63=""),"",IF($L63="متغیر","⚠️ والد متغیر نباید قیمت داشته باشد",B63/10))</f>
        <v/>
      </c>
      <c r="D63" s="24" t="n"/>
      <c r="E63" s="44">
        <f>IF(OR(ISBLANK(B63),B63="",ISBLANK(D63),D63="",D63&lt;=0,$L63="متغیر"),"",(B63-D63)/D63)</f>
        <v/>
      </c>
      <c r="F63" s="24" t="n"/>
      <c r="G63" s="24">
        <f>IF(OR(ISBLANK(F63),F63=""),"",IF($L63="متغیر","",F63/10))</f>
        <v/>
      </c>
      <c r="H63" s="26" t="inlineStr">
        <is>
          <t>✗ ناموجود</t>
        </is>
      </c>
      <c r="I63" s="26" t="inlineStr">
        <is>
          <t>لوازم برقی و پخت و پز</t>
        </is>
      </c>
      <c r="J63" s="26" t="inlineStr">
        <is>
          <t>لوازم برقی و پخت و پز آلتون</t>
        </is>
      </c>
      <c r="K63" s="26" t="inlineStr">
        <is>
          <t>آلتون</t>
        </is>
      </c>
      <c r="L63" s="26" t="inlineStr">
        <is>
          <t>ساده</t>
        </is>
      </c>
      <c r="M63" s="26" t="n"/>
      <c r="N63" s="26" t="inlineStr">
        <is>
          <t>4085</t>
        </is>
      </c>
      <c r="O63" s="26" t="n"/>
      <c r="P63" s="33" t="inlineStr">
        <is>
          <t>https://hosseinykala.ir/product/alton-mds-freestanding-gas-cooker/</t>
        </is>
      </c>
      <c r="Q63" s="26" t="n"/>
      <c r="R63" s="26" t="inlineStr">
        <is>
          <t>ثبت‌شده در سایت</t>
        </is>
      </c>
    </row>
    <row r="64" ht="21" customHeight="1" s="38">
      <c r="A64" s="23" t="inlineStr">
        <is>
          <t>هود آشپزخانه آلتون مدل H312</t>
        </is>
      </c>
      <c r="B64" s="24" t="n"/>
      <c r="C64" s="24">
        <f>IF(OR(ISBLANK(B64),B64=""),"",IF($L64="متغیر","⚠️ والد متغیر نباید قیمت داشته باشد",B64/10))</f>
        <v/>
      </c>
      <c r="D64" s="24" t="n"/>
      <c r="E64" s="44">
        <f>IF(OR(ISBLANK(B64),B64="",ISBLANK(D64),D64="",D64&lt;=0,$L64="متغیر"),"",(B64-D64)/D64)</f>
        <v/>
      </c>
      <c r="F64" s="24" t="n"/>
      <c r="G64" s="24">
        <f>IF(OR(ISBLANK(F64),F64=""),"",IF($L64="متغیر","",F64/10))</f>
        <v/>
      </c>
      <c r="H64" s="26" t="inlineStr">
        <is>
          <t>✗ ناموجود</t>
        </is>
      </c>
      <c r="I64" s="26" t="inlineStr">
        <is>
          <t>لوازم برقی و پخت و پز</t>
        </is>
      </c>
      <c r="J64" s="26" t="inlineStr">
        <is>
          <t>لوازم برقی و پخت و پز آلتون</t>
        </is>
      </c>
      <c r="K64" s="26" t="inlineStr">
        <is>
          <t>آلتون</t>
        </is>
      </c>
      <c r="L64" s="26" t="inlineStr">
        <is>
          <t>ساده</t>
        </is>
      </c>
      <c r="M64" s="26" t="n"/>
      <c r="N64" s="26" t="inlineStr">
        <is>
          <t>4087</t>
        </is>
      </c>
      <c r="O64" s="26" t="n"/>
      <c r="P64" s="33" t="inlineStr">
        <is>
          <t>https://hosseinykala.ir/product/alton-h312-kitchen-range-hood/</t>
        </is>
      </c>
      <c r="Q64" s="26" t="n"/>
      <c r="R64" s="26" t="inlineStr">
        <is>
          <t>ثبت‌شده در سایت</t>
        </is>
      </c>
    </row>
    <row r="65" ht="21" customHeight="1" s="38">
      <c r="A65" s="23" t="inlineStr">
        <is>
          <t>هود آشپزخانه آلتون مدل H315B</t>
        </is>
      </c>
      <c r="B65" s="24" t="n"/>
      <c r="C65" s="24">
        <f>IF(OR(ISBLANK(B65),B65=""),"",IF($L65="متغیر","⚠️ والد متغیر نباید قیمت داشته باشد",B65/10))</f>
        <v/>
      </c>
      <c r="D65" s="24" t="n"/>
      <c r="E65" s="44">
        <f>IF(OR(ISBLANK(B65),B65="",ISBLANK(D65),D65="",D65&lt;=0,$L65="متغیر"),"",(B65-D65)/D65)</f>
        <v/>
      </c>
      <c r="F65" s="24" t="n"/>
      <c r="G65" s="24">
        <f>IF(OR(ISBLANK(F65),F65=""),"",IF($L65="متغیر","",F65/10))</f>
        <v/>
      </c>
      <c r="H65" s="26" t="inlineStr">
        <is>
          <t>✗ ناموجود</t>
        </is>
      </c>
      <c r="I65" s="26" t="inlineStr">
        <is>
          <t>لوازم برقی و پخت و پز</t>
        </is>
      </c>
      <c r="J65" s="26" t="inlineStr">
        <is>
          <t>لوازم برقی و پخت و پز آلتون</t>
        </is>
      </c>
      <c r="K65" s="26" t="inlineStr">
        <is>
          <t>آلتون</t>
        </is>
      </c>
      <c r="L65" s="26" t="inlineStr">
        <is>
          <t>ساده</t>
        </is>
      </c>
      <c r="M65" s="26" t="n"/>
      <c r="N65" s="26" t="inlineStr">
        <is>
          <t>4088</t>
        </is>
      </c>
      <c r="O65" s="26" t="n"/>
      <c r="P65" s="33" t="inlineStr">
        <is>
          <t>https://hosseinykala.ir/product/alton-h315b-kitchen-range-hood/</t>
        </is>
      </c>
      <c r="Q65" s="26" t="n"/>
      <c r="R65" s="26" t="inlineStr">
        <is>
          <t>ثبت‌شده در سایت</t>
        </is>
      </c>
    </row>
    <row r="66" ht="21" customHeight="1" s="38">
      <c r="A66" s="23" t="inlineStr">
        <is>
          <t>هود شومینه ای آلتون مدل 900</t>
        </is>
      </c>
      <c r="B66" s="24" t="n"/>
      <c r="C66" s="24">
        <f>IF(OR(ISBLANK(B66),B66=""),"",IF($L66="متغیر","⚠️ والد متغیر نباید قیمت داشته باشد",B66/10))</f>
        <v/>
      </c>
      <c r="D66" s="24" t="n"/>
      <c r="E66" s="44">
        <f>IF(OR(ISBLANK(B66),B66="",ISBLANK(D66),D66="",D66&lt;=0,$L66="متغیر"),"",(B66-D66)/D66)</f>
        <v/>
      </c>
      <c r="F66" s="24" t="n"/>
      <c r="G66" s="24">
        <f>IF(OR(ISBLANK(F66),F66=""),"",IF($L66="متغیر","",F66/10))</f>
        <v/>
      </c>
      <c r="H66" s="26" t="inlineStr">
        <is>
          <t>✗ ناموجود</t>
        </is>
      </c>
      <c r="I66" s="26" t="inlineStr">
        <is>
          <t>لوازم برقی و پخت و پز</t>
        </is>
      </c>
      <c r="J66" s="26" t="inlineStr">
        <is>
          <t>لوازم برقی و پخت و پز آلتون</t>
        </is>
      </c>
      <c r="K66" s="26" t="inlineStr">
        <is>
          <t>آلتون</t>
        </is>
      </c>
      <c r="L66" s="26" t="inlineStr">
        <is>
          <t>ساده</t>
        </is>
      </c>
      <c r="M66" s="26" t="n"/>
      <c r="N66" s="26" t="n"/>
      <c r="O66" s="26" t="n"/>
      <c r="P66" s="33" t="n"/>
      <c r="Q66" s="26" t="n"/>
      <c r="R66" s="26" t="inlineStr">
        <is>
          <t>فعلا دست نگه دار</t>
        </is>
      </c>
    </row>
    <row r="67" ht="21.95" customHeight="1" s="38">
      <c r="A67" s="39" t="inlineStr">
        <is>
          <t xml:space="preserve">  📂 لوازم برقی و پخت و پز  ◀  ساپر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1" t="n"/>
    </row>
    <row r="68" ht="21" customHeight="1" s="38">
      <c r="A68" s="23" t="inlineStr">
        <is>
          <t>سرخ‌کن بدون روغن ساپر 7.2 لیتر مدل SAF-1710</t>
        </is>
      </c>
      <c r="B68" s="24" t="n"/>
      <c r="C68" s="24">
        <f>IF(OR(ISBLANK(B68),B68=""),"",IF($L68="متغیر","⚠️ والد متغیر نباید قیمت داشته باشد",B68/10))</f>
        <v/>
      </c>
      <c r="D68" s="24" t="n"/>
      <c r="E68" s="44">
        <f>IF(OR(ISBLANK(B68),B68="",ISBLANK(D68),D68="",D68&lt;=0,$L68="متغیر"),"",(B68-D68)/D68)</f>
        <v/>
      </c>
      <c r="F68" s="24" t="n"/>
      <c r="G68" s="24">
        <f>IF(OR(ISBLANK(F68),F68=""),"",IF($L68="متغیر","",F68/10))</f>
        <v/>
      </c>
      <c r="H68" s="26" t="inlineStr">
        <is>
          <t>✗ ناموجود</t>
        </is>
      </c>
      <c r="I68" s="26" t="inlineStr">
        <is>
          <t>لوازم برقی و پخت و پز</t>
        </is>
      </c>
      <c r="J68" s="26" t="inlineStr">
        <is>
          <t>لوازم برقی و پخت و پز ساپر</t>
        </is>
      </c>
      <c r="K68" s="26" t="inlineStr">
        <is>
          <t>ساپر</t>
        </is>
      </c>
      <c r="L68" s="26" t="inlineStr">
        <is>
          <t>ساده</t>
        </is>
      </c>
      <c r="M68" s="26" t="n"/>
      <c r="N68" s="26" t="inlineStr">
        <is>
          <t>4095</t>
        </is>
      </c>
      <c r="O68" s="26" t="n"/>
      <c r="P68" s="33" t="inlineStr">
        <is>
          <t>https://hosseinykala.ir/product/saper-saf1710-air-fryer-7-2l/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لوازم برقی و پخت و پز  ◀  فیلیپس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غذاساز حرفه‌ای ۱۳۰۰ وات فیلیپس مدل HR7778</t>
        </is>
      </c>
      <c r="B70" s="24" t="n">
        <v>624000000</v>
      </c>
      <c r="C70" s="24">
        <f>IF(OR(ISBLANK(B70),B70=""),"",IF($L70="متغیر","⚠️ والد متغیر نباید قیمت داشته باشد",B70/10))</f>
        <v/>
      </c>
      <c r="D70" s="24" t="n">
        <v>624000000</v>
      </c>
      <c r="E70" s="44">
        <f>IF(OR(ISBLANK(B70),B70="",ISBLANK(D70),D70="",D70&lt;=0,$L70="متغیر"),"",(B70-D70)/D70)</f>
        <v/>
      </c>
      <c r="F70" s="24" t="n">
        <v>592800000</v>
      </c>
      <c r="G70" s="24">
        <f>IF(OR(ISBLANK(F70),F70=""),"",IF($L70="متغیر","",F70/10))</f>
        <v/>
      </c>
      <c r="H70" s="26" t="inlineStr">
        <is>
          <t>✓ موجود</t>
        </is>
      </c>
      <c r="I70" s="26" t="inlineStr">
        <is>
          <t>لوازم برقی و پخت و پز</t>
        </is>
      </c>
      <c r="J70" s="26" t="inlineStr">
        <is>
          <t>لوازم برقی و پخت و پز فیلیپس</t>
        </is>
      </c>
      <c r="K70" s="26" t="inlineStr">
        <is>
          <t>فیلیپس</t>
        </is>
      </c>
      <c r="L70" s="26" t="inlineStr">
        <is>
          <t>ساده</t>
        </is>
      </c>
      <c r="M70" s="26" t="n"/>
      <c r="N70" s="26" t="inlineStr">
        <is>
          <t>3629</t>
        </is>
      </c>
      <c r="O70" s="26" t="n"/>
      <c r="P70" s="33" t="inlineStr">
        <is>
          <t>https://hosseinykala.ir/?p=3629</t>
        </is>
      </c>
      <c r="Q70" s="26" t="n"/>
      <c r="R70" s="26" t="inlineStr">
        <is>
          <t>ثبت‌شده در سایت</t>
        </is>
      </c>
    </row>
    <row r="71" ht="21.95" customHeight="1" s="38">
      <c r="A71" s="39" t="inlineStr">
        <is>
          <t xml:space="preserve">  📂 لوازم برقی و پخت و پز  ◀  لاوان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1" t="n"/>
    </row>
    <row r="72" ht="21" customHeight="1" s="38">
      <c r="A72" s="23" t="inlineStr">
        <is>
          <t>قابلمه تک سایز 14 لاوان</t>
        </is>
      </c>
      <c r="B72" s="24" t="n">
        <v>20000000</v>
      </c>
      <c r="C72" s="24">
        <f>IF(OR(ISBLANK(B72),B72=""),"",IF($L72="متغیر","⚠️ والد متغیر نباید قیمت داشته باشد",B72/10))</f>
        <v/>
      </c>
      <c r="D72" s="24" t="n">
        <v>20000000</v>
      </c>
      <c r="E72" s="44">
        <f>IF(OR(ISBLANK(B72),B72="",ISBLANK(D72),D72="",D72&lt;=0,$L72="متغیر"),"",(B72-D72)/D72)</f>
        <v/>
      </c>
      <c r="F72" s="24" t="n">
        <v>19000000</v>
      </c>
      <c r="G72" s="24">
        <f>IF(OR(ISBLANK(F72),F72=""),"",IF($L72="متغیر","",F72/10))</f>
        <v/>
      </c>
      <c r="H72" s="26" t="inlineStr">
        <is>
          <t>✓ موجود</t>
        </is>
      </c>
      <c r="I72" s="26" t="inlineStr">
        <is>
          <t>لوازم برقی و پخت و پز</t>
        </is>
      </c>
      <c r="J72" s="26" t="inlineStr">
        <is>
          <t>لوازم برقی و پخت و پز لاوان</t>
        </is>
      </c>
      <c r="K72" s="26" t="inlineStr">
        <is>
          <t>لاوان</t>
        </is>
      </c>
      <c r="L72" s="26" t="inlineStr">
        <is>
          <t>ساده</t>
        </is>
      </c>
      <c r="M72" s="26" t="n"/>
      <c r="N72" s="26" t="inlineStr">
        <is>
          <t>4097</t>
        </is>
      </c>
      <c r="O72" s="26" t="n"/>
      <c r="P72" s="33" t="inlineStr">
        <is>
          <t>https://hosseinykala.ir/product/lavan-single-pot-size-14/</t>
        </is>
      </c>
      <c r="Q72" s="26" t="n"/>
      <c r="R72" s="26" t="inlineStr">
        <is>
          <t>ثبت‌شده در سایت</t>
        </is>
      </c>
    </row>
    <row r="73" ht="21.95" customHeight="1" s="38">
      <c r="A73" s="39" t="inlineStr">
        <is>
          <t xml:space="preserve">  📂 لوازم برقی و پخت و پز  ◀  نیاک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1" t="n"/>
    </row>
    <row r="74" ht="21" customHeight="1" s="38">
      <c r="A74" s="23" t="inlineStr">
        <is>
          <t>سبزی خردکن خانگی نیاک 3 کیلوگرم</t>
        </is>
      </c>
      <c r="B74" s="24" t="n">
        <v>40000000</v>
      </c>
      <c r="C74" s="24">
        <f>IF(OR(ISBLANK(B74),B74=""),"",IF($L74="متغیر","⚠️ والد متغیر نباید قیمت داشته باشد",B74/10))</f>
        <v/>
      </c>
      <c r="D74" s="24" t="n">
        <v>40000000</v>
      </c>
      <c r="E74" s="44">
        <f>IF(OR(ISBLANK(B74),B74="",ISBLANK(D74),D74="",D74&lt;=0,$L74="متغیر"),"",(B74-D74)/D74)</f>
        <v/>
      </c>
      <c r="F74" s="24" t="n">
        <v>38000000</v>
      </c>
      <c r="G74" s="24">
        <f>IF(OR(ISBLANK(F74),F74=""),"",IF($L74="متغیر","",F74/10))</f>
        <v/>
      </c>
      <c r="H74" s="26" t="inlineStr">
        <is>
          <t>✓ موجود</t>
        </is>
      </c>
      <c r="I74" s="26" t="inlineStr">
        <is>
          <t>لوازم برقی و پخت و پز</t>
        </is>
      </c>
      <c r="J74" s="26" t="inlineStr">
        <is>
          <t>لوازم برقی و پخت و پز نیاک</t>
        </is>
      </c>
      <c r="K74" s="26" t="inlineStr">
        <is>
          <t>نیاک</t>
        </is>
      </c>
      <c r="L74" s="26" t="inlineStr">
        <is>
          <t>ساده</t>
        </is>
      </c>
      <c r="M74" s="26" t="n"/>
      <c r="N74" s="26" t="inlineStr">
        <is>
          <t>4103</t>
        </is>
      </c>
      <c r="O74" s="26" t="n"/>
      <c r="P74" s="33" t="inlineStr">
        <is>
          <t>https://hosseinykala.ir/product/niak-3kg-home-vegetable-chopper/</t>
        </is>
      </c>
      <c r="Q74" s="26" t="n"/>
      <c r="R74" s="26" t="inlineStr">
        <is>
          <t>ثبت‌شده در سایت</t>
        </is>
      </c>
    </row>
    <row r="75" ht="21.95" customHeight="1" s="38">
      <c r="A75" s="39" t="inlineStr">
        <is>
          <t xml:space="preserve">  📂 لوازم برقی و پخت و پز  ◀  ویلز</t>
        </is>
      </c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1" t="n"/>
    </row>
    <row r="76" ht="21" customHeight="1" s="38">
      <c r="A76" s="15" t="inlineStr">
        <is>
          <t>خردکن برقی کاسه دار ویلز</t>
        </is>
      </c>
      <c r="B76" s="16" t="n"/>
      <c r="C76" s="16">
        <f>IF(OR(B76="",B76=0),"",B76/10)</f>
        <v/>
      </c>
      <c r="D76" s="16" t="n"/>
      <c r="E76" s="42">
        <f>IF(ISNUMBER(D76),(B76-D76)/D76,"")</f>
        <v/>
      </c>
      <c r="F76" s="16" t="n"/>
      <c r="G76" s="16">
        <f>IF(OR(F76="",F76=0),"",F76/10)</f>
        <v/>
      </c>
      <c r="H76" s="18" t="inlineStr">
        <is>
          <t>✓ موجود</t>
        </is>
      </c>
      <c r="I76" s="18" t="inlineStr">
        <is>
          <t>لوازم برقی و پخت و پز</t>
        </is>
      </c>
      <c r="J76" s="18" t="inlineStr">
        <is>
          <t>لوازم برقی و پخت و پز ویلز</t>
        </is>
      </c>
      <c r="K76" s="18" t="inlineStr">
        <is>
          <t>ویلز</t>
        </is>
      </c>
      <c r="L76" s="18" t="inlineStr">
        <is>
          <t>متغیر</t>
        </is>
      </c>
      <c r="M76" s="18" t="inlineStr">
        <is>
          <t>شامل 3 تنوع</t>
        </is>
      </c>
      <c r="N76" s="18" t="inlineStr">
        <is>
          <t>4106</t>
        </is>
      </c>
      <c r="O76" s="18" t="n"/>
      <c r="P76" s="31" t="inlineStr">
        <is>
          <t>https://hosseinykala.ir/product/willez-electric-bowl-chopper/</t>
        </is>
      </c>
      <c r="Q76" s="18" t="n"/>
      <c r="R76" s="18" t="inlineStr">
        <is>
          <t>ثبت‌شده در سایت</t>
        </is>
      </c>
    </row>
    <row r="77" ht="18.95" customHeight="1" s="38">
      <c r="A77" s="19" t="inlineStr">
        <is>
          <t>↳ مدل: 6031 استیل</t>
        </is>
      </c>
      <c r="B77" s="20" t="n">
        <v>115000000</v>
      </c>
      <c r="C77" s="20">
        <f>IF(OR(ISBLANK(B77),B77=""),"",IF($L77="متغیر","⚠️ والد متغیر نباید قیمت داشته باشد",B77/10))</f>
        <v/>
      </c>
      <c r="D77" s="20" t="n">
        <v>115000000</v>
      </c>
      <c r="E77" s="43">
        <f>IF(OR(ISBLANK(B77),B77="",ISBLANK(D77),D77="",D77&lt;=0,$L77="متغیر"),"",(B77-D77)/D77)</f>
        <v/>
      </c>
      <c r="F77" s="20" t="n">
        <v>109250000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لوازم برقی و پخت و پز</t>
        </is>
      </c>
      <c r="J77" s="22" t="inlineStr">
        <is>
          <t>لوازم برقی و پخت و پز ویلز</t>
        </is>
      </c>
      <c r="K77" s="22" t="inlineStr">
        <is>
          <t>ویلز</t>
        </is>
      </c>
      <c r="L77" s="22" t="inlineStr">
        <is>
          <t>تنوع</t>
        </is>
      </c>
      <c r="M77" s="22" t="inlineStr">
        <is>
          <t>مدل: 6031 استیل</t>
        </is>
      </c>
      <c r="N77" s="22" t="inlineStr">
        <is>
          <t>4106</t>
        </is>
      </c>
      <c r="O77" s="22" t="n">
        <v>4107</v>
      </c>
      <c r="P77" s="32" t="inlineStr">
        <is>
          <t>https://hosseinykala.ir/product/willez-electric-bowl-chopper/</t>
        </is>
      </c>
      <c r="Q77" s="22" t="n"/>
      <c r="R77" s="22" t="inlineStr">
        <is>
          <t>ثبت‌شده در سایت</t>
        </is>
      </c>
    </row>
    <row r="78" ht="18.95" customHeight="1" s="38">
      <c r="A78" s="19" t="inlineStr">
        <is>
          <t>↳ مدل: 6032 سه لیتری</t>
        </is>
      </c>
      <c r="B78" s="20" t="n">
        <v>77000000</v>
      </c>
      <c r="C78" s="20">
        <f>IF(OR(ISBLANK(B78),B78=""),"",IF($L78="متغیر","⚠️ والد متغیر نباید قیمت داشته باشد",B78/10))</f>
        <v/>
      </c>
      <c r="D78" s="20" t="n">
        <v>77000000</v>
      </c>
      <c r="E78" s="43">
        <f>IF(OR(ISBLANK(B78),B78="",ISBLANK(D78),D78="",D78&lt;=0,$L78="متغیر"),"",(B78-D78)/D78)</f>
        <v/>
      </c>
      <c r="F78" s="20" t="n">
        <v>73150000</v>
      </c>
      <c r="G78" s="20">
        <f>IF(OR(ISBLANK(F78),F78=""),"",IF($L78="متغیر","",F78/10))</f>
        <v/>
      </c>
      <c r="H78" s="22" t="inlineStr">
        <is>
          <t>✓ موجود</t>
        </is>
      </c>
      <c r="I78" s="22" t="inlineStr">
        <is>
          <t>لوازم برقی و پخت و پز</t>
        </is>
      </c>
      <c r="J78" s="22" t="inlineStr">
        <is>
          <t>لوازم برقی و پخت و پز ویلز</t>
        </is>
      </c>
      <c r="K78" s="22" t="inlineStr">
        <is>
          <t>ویلز</t>
        </is>
      </c>
      <c r="L78" s="22" t="inlineStr">
        <is>
          <t>تنوع</t>
        </is>
      </c>
      <c r="M78" s="22" t="inlineStr">
        <is>
          <t>مدل: 6032 سه لیتری</t>
        </is>
      </c>
      <c r="N78" s="22" t="inlineStr">
        <is>
          <t>4106</t>
        </is>
      </c>
      <c r="O78" s="22" t="n">
        <v>4108</v>
      </c>
      <c r="P78" s="32" t="inlineStr">
        <is>
          <t>https://hosseinykala.ir/product/willez-electric-bowl-chopper/</t>
        </is>
      </c>
      <c r="Q78" s="22" t="n"/>
      <c r="R78" s="22" t="inlineStr">
        <is>
          <t>ثبت‌شده در سایت</t>
        </is>
      </c>
    </row>
    <row r="79" ht="18.95" customHeight="1" s="38">
      <c r="A79" s="35" t="inlineStr">
        <is>
          <t>↳ مدل: 6033 سه لیتری</t>
        </is>
      </c>
      <c r="B79" s="24" t="n"/>
      <c r="C79" s="24">
        <f>IF(OR(ISBLANK(B79),B79=""),"",IF($L79="متغیر","⚠️ والد متغیر نباید قیمت داشته باشد",B79/10))</f>
        <v/>
      </c>
      <c r="D79" s="24" t="n"/>
      <c r="E79" s="44">
        <f>IF(OR(ISBLANK(B79),B79="",ISBLANK(D79),D79="",D79&lt;=0,$L79="متغیر"),"",(B79-D79)/D79)</f>
        <v/>
      </c>
      <c r="F79" s="24" t="n"/>
      <c r="G79" s="24">
        <f>IF(OR(ISBLANK(F79),F79=""),"",IF($L79="متغیر","",F79/10))</f>
        <v/>
      </c>
      <c r="H79" s="36" t="inlineStr">
        <is>
          <t>✗ ناموجود</t>
        </is>
      </c>
      <c r="I79" s="36" t="inlineStr">
        <is>
          <t>لوازم برقی و پخت و پز</t>
        </is>
      </c>
      <c r="J79" s="36" t="inlineStr">
        <is>
          <t>لوازم برقی و پخت و پز ویلز</t>
        </is>
      </c>
      <c r="K79" s="36" t="inlineStr">
        <is>
          <t>ویلز</t>
        </is>
      </c>
      <c r="L79" s="36" t="inlineStr">
        <is>
          <t>تنوع</t>
        </is>
      </c>
      <c r="M79" s="36" t="inlineStr">
        <is>
          <t>مدل: 6033 سه لیتری</t>
        </is>
      </c>
      <c r="N79" s="36" t="inlineStr">
        <is>
          <t>4106</t>
        </is>
      </c>
      <c r="O79" s="36" t="n">
        <v>4260</v>
      </c>
      <c r="P79" s="33" t="inlineStr">
        <is>
          <t>https://hosseinykala.ir/product/willez-electric-bowl-chopper/</t>
        </is>
      </c>
      <c r="Q79" s="36" t="n"/>
      <c r="R79" s="36" t="inlineStr">
        <is>
          <t>ثبت‌شده در سایت</t>
        </is>
      </c>
    </row>
    <row r="80" ht="21" customHeight="1" s="38">
      <c r="A80" s="23" t="inlineStr">
        <is>
          <t>سرخ کن بدون روغن ویلز مدل 5062</t>
        </is>
      </c>
      <c r="B80" s="24" t="n"/>
      <c r="C80" s="24">
        <f>IF(OR(ISBLANK(B80),B80=""),"",IF($L80="متغیر","⚠️ والد متغیر نباید قیمت داشته باشد",B80/10))</f>
        <v/>
      </c>
      <c r="D80" s="24" t="n"/>
      <c r="E80" s="44">
        <f>IF(OR(ISBLANK(B80),B80="",ISBLANK(D80),D80="",D80&lt;=0,$L80="متغیر"),"",(B80-D80)/D80)</f>
        <v/>
      </c>
      <c r="F80" s="24" t="n"/>
      <c r="G80" s="24">
        <f>IF(OR(ISBLANK(F80),F80=""),"",IF($L80="متغیر","",F80/10))</f>
        <v/>
      </c>
      <c r="H80" s="26" t="inlineStr">
        <is>
          <t>✗ ناموجود</t>
        </is>
      </c>
      <c r="I80" s="26" t="inlineStr">
        <is>
          <t>لوازم برقی و پخت و پز</t>
        </is>
      </c>
      <c r="J80" s="26" t="inlineStr">
        <is>
          <t>لوازم برقی و پخت و پز ویلز</t>
        </is>
      </c>
      <c r="K80" s="26" t="inlineStr">
        <is>
          <t>ویلز</t>
        </is>
      </c>
      <c r="L80" s="26" t="inlineStr">
        <is>
          <t>ساده</t>
        </is>
      </c>
      <c r="M80" s="26" t="n"/>
      <c r="N80" s="26" t="inlineStr">
        <is>
          <t>4110</t>
        </is>
      </c>
      <c r="O80" s="26" t="n"/>
      <c r="P80" s="33" t="inlineStr">
        <is>
          <t>https://hosseinykala.ir/product/willez-5062-air-fryer/</t>
        </is>
      </c>
      <c r="Q80" s="26" t="n"/>
      <c r="R80" s="26" t="inlineStr">
        <is>
          <t>ثبت‌شده در سایت</t>
        </is>
      </c>
    </row>
    <row r="81" ht="21" customHeight="1" s="38">
      <c r="A81" s="23" t="inlineStr">
        <is>
          <t>چرخ گوشت برقی ویلز</t>
        </is>
      </c>
      <c r="B81" s="24" t="n">
        <v>275000000</v>
      </c>
      <c r="C81" s="24">
        <f>IF(OR(ISBLANK(B81),B81=""),"",IF($L81="متغیر","⚠️ والد متغیر نباید قیمت داشته باشد",B81/10))</f>
        <v/>
      </c>
      <c r="D81" s="24" t="n">
        <v>275000000</v>
      </c>
      <c r="E81" s="44">
        <f>IF(OR(ISBLANK(B81),B81="",ISBLANK(D81),D81="",D81&lt;=0,$L81="متغیر"),"",(B81-D81)/D81)</f>
        <v/>
      </c>
      <c r="F81" s="24" t="n">
        <v>261250000</v>
      </c>
      <c r="G81" s="24">
        <f>IF(OR(ISBLANK(F81),F81=""),"",IF($L81="متغیر","",F81/10))</f>
        <v/>
      </c>
      <c r="H81" s="26" t="inlineStr">
        <is>
          <t>✓ موجود</t>
        </is>
      </c>
      <c r="I81" s="26" t="inlineStr">
        <is>
          <t>لوازم برقی و پخت و پز</t>
        </is>
      </c>
      <c r="J81" s="26" t="inlineStr">
        <is>
          <t>لوازم برقی و پخت و پز ویلز</t>
        </is>
      </c>
      <c r="K81" s="26" t="inlineStr">
        <is>
          <t>ویلز</t>
        </is>
      </c>
      <c r="L81" s="26" t="inlineStr">
        <is>
          <t>ساده</t>
        </is>
      </c>
      <c r="M81" s="26" t="n"/>
      <c r="N81" s="26" t="inlineStr">
        <is>
          <t>4112</t>
        </is>
      </c>
      <c r="O81" s="26" t="n"/>
      <c r="P81" s="33" t="inlineStr">
        <is>
          <t>https://hosseinykala.ir/product/willez-electric-meat-grinder/</t>
        </is>
      </c>
      <c r="Q81" s="26" t="n"/>
      <c r="R81" s="26" t="inlineStr">
        <is>
          <t>ثبت‌شده در سایت</t>
        </is>
      </c>
    </row>
    <row r="82" ht="21.95" customHeight="1" s="38">
      <c r="A82" s="39" t="inlineStr">
        <is>
          <t xml:space="preserve">  📂 لوازم برقی و پخت و پز  ◀  پارس خزر</t>
        </is>
      </c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1" t="n"/>
    </row>
    <row r="83" ht="21" customHeight="1" s="38">
      <c r="A83" s="23" t="inlineStr">
        <is>
          <t>پلوپز پارس خزر مدل 361</t>
        </is>
      </c>
      <c r="B83" s="24" t="n">
        <v>135000000</v>
      </c>
      <c r="C83" s="24">
        <f>IF(OR(ISBLANK(B83),B83=""),"",IF($L83="متغیر","⚠️ والد متغیر نباید قیمت داشته باشد",B83/10))</f>
        <v/>
      </c>
      <c r="D83" s="24" t="n">
        <v>135000000</v>
      </c>
      <c r="E83" s="44">
        <f>IF(OR(ISBLANK(B83),B83="",ISBLANK(D83),D83="",D83&lt;=0,$L83="متغیر"),"",(B83-D83)/D83)</f>
        <v/>
      </c>
      <c r="F83" s="24" t="n">
        <v>128250000</v>
      </c>
      <c r="G83" s="24">
        <f>IF(OR(ISBLANK(F83),F83=""),"",IF($L83="متغیر","",F83/10))</f>
        <v/>
      </c>
      <c r="H83" s="26" t="inlineStr">
        <is>
          <t>✓ موجود</t>
        </is>
      </c>
      <c r="I83" s="26" t="inlineStr">
        <is>
          <t>لوازم برقی و پخت و پز</t>
        </is>
      </c>
      <c r="J83" s="26" t="inlineStr">
        <is>
          <t>لوازم برقی و پخت و پز پارس خزر</t>
        </is>
      </c>
      <c r="K83" s="26" t="inlineStr">
        <is>
          <t>پارس خزر</t>
        </is>
      </c>
      <c r="L83" s="26" t="inlineStr">
        <is>
          <t>ساده</t>
        </is>
      </c>
      <c r="M83" s="26" t="n"/>
      <c r="N83" s="26" t="inlineStr">
        <is>
          <t>4113</t>
        </is>
      </c>
      <c r="O83" s="26" t="n"/>
      <c r="P83" s="33" t="inlineStr">
        <is>
          <t>https://hosseinykala.ir/product/parskhazar-ts361-rice-cooker/</t>
        </is>
      </c>
      <c r="Q83" s="26" t="n"/>
      <c r="R83" s="26" t="inlineStr">
        <is>
          <t>ثبت‌شده در سایت</t>
        </is>
      </c>
    </row>
    <row r="84" ht="21" customHeight="1" s="38">
      <c r="A84" s="23" t="inlineStr">
        <is>
          <t>پلوپز پارس خزر 8 نفره نقره ای</t>
        </is>
      </c>
      <c r="B84" s="24" t="n"/>
      <c r="C84" s="24">
        <f>IF(OR(ISBLANK(B84),B84=""),"",IF($L84="متغیر","⚠️ والد متغیر نباید قیمت داشته باشد",B84/10))</f>
        <v/>
      </c>
      <c r="D84" s="24" t="n"/>
      <c r="E84" s="44">
        <f>IF(OR(ISBLANK(B84),B84="",ISBLANK(D84),D84="",D84&lt;=0,$L84="متغیر"),"",(B84-D84)/D84)</f>
        <v/>
      </c>
      <c r="F84" s="24" t="n"/>
      <c r="G84" s="24">
        <f>IF(OR(ISBLANK(F84),F84=""),"",IF($L84="متغیر","",F84/10))</f>
        <v/>
      </c>
      <c r="H84" s="26" t="inlineStr">
        <is>
          <t>✗ ناموجود</t>
        </is>
      </c>
      <c r="I84" s="26" t="inlineStr">
        <is>
          <t>لوازم برقی و پخت و پز</t>
        </is>
      </c>
      <c r="J84" s="26" t="inlineStr">
        <is>
          <t>لوازم برقی و پخت و پز پارس خزر</t>
        </is>
      </c>
      <c r="K84" s="26" t="inlineStr">
        <is>
          <t>پارس خزر</t>
        </is>
      </c>
      <c r="L84" s="26" t="inlineStr">
        <is>
          <t>ساده</t>
        </is>
      </c>
      <c r="M84" s="26" t="n"/>
      <c r="N84" s="26" t="n"/>
      <c r="O84" s="26" t="n"/>
      <c r="P84" s="33" t="n"/>
      <c r="Q84" s="26" t="n"/>
      <c r="R84" s="26" t="inlineStr">
        <is>
          <t>فعلا دست نگه دار</t>
        </is>
      </c>
    </row>
    <row r="85" ht="21.95" customHeight="1" s="38">
      <c r="A85" s="39" t="inlineStr">
        <is>
          <t xml:space="preserve">  📂 لوازم برقی و پخت و پز  ◀  گرنویک</t>
        </is>
      </c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1" t="n"/>
    </row>
    <row r="86" ht="21" customHeight="1" s="38">
      <c r="A86" s="23" t="inlineStr">
        <is>
          <t>سرخ کن ایرفرایر خاکستری گرنویک</t>
        </is>
      </c>
      <c r="B86" s="24" t="n"/>
      <c r="C86" s="24">
        <f>IF(OR(ISBLANK(B86),B86=""),"",IF($L86="متغیر","⚠️ والد متغیر نباید قیمت داشته باشد",B86/10))</f>
        <v/>
      </c>
      <c r="D86" s="24" t="n"/>
      <c r="E86" s="44">
        <f>IF(OR(ISBLANK(B86),B86="",ISBLANK(D86),D86="",D86&lt;=0,$L86="متغیر"),"",(B86-D86)/D86)</f>
        <v/>
      </c>
      <c r="F86" s="24" t="n"/>
      <c r="G86" s="24">
        <f>IF(OR(ISBLANK(F86),F86=""),"",IF($L86="متغیر","",F86/10))</f>
        <v/>
      </c>
      <c r="H86" s="26" t="inlineStr">
        <is>
          <t>✗ ناموجود</t>
        </is>
      </c>
      <c r="I86" s="26" t="inlineStr">
        <is>
          <t>لوازم برقی و پخت و پز</t>
        </is>
      </c>
      <c r="J86" s="26" t="inlineStr">
        <is>
          <t>لوازم برقی و پخت و پز گرنویک</t>
        </is>
      </c>
      <c r="K86" s="26" t="inlineStr">
        <is>
          <t>گرنویک</t>
        </is>
      </c>
      <c r="L86" s="26" t="inlineStr">
        <is>
          <t>ساده</t>
        </is>
      </c>
      <c r="M86" s="26" t="n"/>
      <c r="N86" s="26" t="n"/>
      <c r="O86" s="26" t="n"/>
      <c r="P86" s="33" t="n"/>
      <c r="Q86" s="26" t="n"/>
      <c r="R86" s="26" t="inlineStr">
        <is>
          <t>فعلا دست نگه دار</t>
        </is>
      </c>
    </row>
    <row r="87" ht="21" customHeight="1" s="38">
      <c r="A87" s="23" t="inlineStr">
        <is>
          <t>سرخ‌کن بدون روغن ۸ لیتری گرنویک مدل ProMar</t>
        </is>
      </c>
      <c r="B87" s="24" t="n">
        <v>265000000</v>
      </c>
      <c r="C87" s="24">
        <f>IF(OR(ISBLANK(B87),B87=""),"",IF($L87="متغیر","⚠️ والد متغیر نباید قیمت داشته باشد",B87/10))</f>
        <v/>
      </c>
      <c r="D87" s="24" t="n">
        <v>265000000</v>
      </c>
      <c r="E87" s="44">
        <f>IF(OR(ISBLANK(B87),B87="",ISBLANK(D87),D87="",D87&lt;=0,$L87="متغیر"),"",(B87-D87)/D87)</f>
        <v/>
      </c>
      <c r="F87" s="24" t="n">
        <v>251750000</v>
      </c>
      <c r="G87" s="24">
        <f>IF(OR(ISBLANK(F87),F87=""),"",IF($L87="متغیر","",F87/10))</f>
        <v/>
      </c>
      <c r="H87" s="26" t="inlineStr">
        <is>
          <t>✓ موجود</t>
        </is>
      </c>
      <c r="I87" s="26" t="inlineStr">
        <is>
          <t>لوازم برقی و پخت و پز</t>
        </is>
      </c>
      <c r="J87" s="26" t="inlineStr">
        <is>
          <t>لوازم برقی و پخت و پز گرنویک</t>
        </is>
      </c>
      <c r="K87" s="26" t="inlineStr">
        <is>
          <t>گرنویک</t>
        </is>
      </c>
      <c r="L87" s="26" t="inlineStr">
        <is>
          <t>ساده</t>
        </is>
      </c>
      <c r="M87" s="26" t="n"/>
      <c r="N87" s="26" t="inlineStr">
        <is>
          <t>3647</t>
        </is>
      </c>
      <c r="O87" s="26" t="n"/>
      <c r="P87" s="33" t="inlineStr">
        <is>
          <t>https://hosseinykala.ir/?p=3647</t>
        </is>
      </c>
      <c r="Q87" s="26" t="n"/>
      <c r="R87" s="26" t="inlineStr">
        <is>
          <t>ثبت‌شده در سایت</t>
        </is>
      </c>
    </row>
    <row r="88" ht="21.95" customHeight="1" s="38">
      <c r="A88" s="39" t="inlineStr">
        <is>
          <t xml:space="preserve">  📂 لوازم برقی و پخت و پز  ◀  کنرا</t>
        </is>
      </c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1" t="n"/>
    </row>
    <row r="89" ht="21" customHeight="1" s="38">
      <c r="A89" s="23" t="inlineStr">
        <is>
          <t>سبزی خردکن خانگی کنرا مدل KENRA</t>
        </is>
      </c>
      <c r="B89" s="24" t="n">
        <v>40000000</v>
      </c>
      <c r="C89" s="24">
        <f>IF(OR(ISBLANK(B89),B89=""),"",IF($L89="متغیر","⚠️ والد متغیر نباید قیمت داشته باشد",B89/10))</f>
        <v/>
      </c>
      <c r="D89" s="24" t="n">
        <v>40000000</v>
      </c>
      <c r="E89" s="44">
        <f>IF(OR(ISBLANK(B89),B89="",ISBLANK(D89),D89="",D89&lt;=0,$L89="متغیر"),"",(B89-D89)/D89)</f>
        <v/>
      </c>
      <c r="F89" s="24" t="n">
        <v>38000000</v>
      </c>
      <c r="G89" s="24">
        <f>IF(OR(ISBLANK(F89),F89=""),"",IF($L89="متغیر","",F89/10))</f>
        <v/>
      </c>
      <c r="H89" s="26" t="inlineStr">
        <is>
          <t>✓ موجود</t>
        </is>
      </c>
      <c r="I89" s="26" t="inlineStr">
        <is>
          <t>لوازم برقی و پخت و پز</t>
        </is>
      </c>
      <c r="J89" s="26" t="inlineStr">
        <is>
          <t>لوازم برقی و پخت و پز کنرا</t>
        </is>
      </c>
      <c r="K89" s="26" t="inlineStr">
        <is>
          <t>کنرا</t>
        </is>
      </c>
      <c r="L89" s="26" t="inlineStr">
        <is>
          <t>ساده</t>
        </is>
      </c>
      <c r="M89" s="26" t="n"/>
      <c r="N89" s="26" t="inlineStr">
        <is>
          <t>4099</t>
        </is>
      </c>
      <c r="O89" s="26" t="n"/>
      <c r="P89" s="33" t="inlineStr">
        <is>
          <t>https://hosseinykala.ir/product/kenra-vegetable-chopper/</t>
        </is>
      </c>
      <c r="Q89" s="26" t="n"/>
      <c r="R89" s="26" t="inlineStr">
        <is>
          <t>ثبت‌شده در سایت</t>
        </is>
      </c>
    </row>
    <row r="90" ht="21.95" customHeight="1" s="38">
      <c r="A90" s="39" t="inlineStr">
        <is>
          <t xml:space="preserve">  📂 لوازم برقی و پخت و پز  ◀  دستی لوکس</t>
        </is>
      </c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1" t="n"/>
    </row>
    <row r="91" ht="21" customHeight="1" s="38">
      <c r="A91" s="23" t="inlineStr">
        <is>
          <t>سرویس پخت و پز ۱۰ پارچه تمام استیل دستی لوکس اینداکشن</t>
        </is>
      </c>
      <c r="B91" s="24" t="n">
        <v>286000000</v>
      </c>
      <c r="C91" s="24">
        <f>IF(OR(ISBLANK(B91),B91=""),"",IF($L91="متغیر","⚠️ والد متغیر نباید قیمت داشته باشد",B91/10))</f>
        <v/>
      </c>
      <c r="D91" s="24" t="n">
        <v>286000000</v>
      </c>
      <c r="E91" s="44">
        <f>IF(OR(ISBLANK(B91),B91="",ISBLANK(D91),D91="",D91&lt;=0,$L91="متغیر"),"",(B91-D91)/D91)</f>
        <v/>
      </c>
      <c r="F91" s="24" t="n">
        <v>271700000</v>
      </c>
      <c r="G91" s="24">
        <f>IF(OR(ISBLANK(F91),F91=""),"",IF($L91="متغیر","",F91/10))</f>
        <v/>
      </c>
      <c r="H91" s="26" t="inlineStr">
        <is>
          <t>✓ موجود</t>
        </is>
      </c>
      <c r="I91" s="26" t="inlineStr">
        <is>
          <t>لوازم برقی و پخت و پز</t>
        </is>
      </c>
      <c r="J91" s="26" t="inlineStr">
        <is>
          <t>لوازم برقی و پخت و پز دستی لوکس</t>
        </is>
      </c>
      <c r="K91" s="26" t="inlineStr">
        <is>
          <t>دستی لوکس</t>
        </is>
      </c>
      <c r="L91" s="26" t="inlineStr">
        <is>
          <t>ساده</t>
        </is>
      </c>
      <c r="M91" s="26" t="n"/>
      <c r="N91" s="26" t="inlineStr">
        <is>
          <t>3354</t>
        </is>
      </c>
      <c r="O91" s="26" t="n"/>
      <c r="P91" s="33" t="inlineStr">
        <is>
          <t>https://hosseinykala.ir/?p=3354</t>
        </is>
      </c>
      <c r="Q91" s="26" t="n"/>
      <c r="R91" s="26" t="inlineStr">
        <is>
          <t>ثبت‌شده در سایت</t>
        </is>
      </c>
    </row>
    <row r="92" ht="21.95" customHeight="1" s="38">
      <c r="A92" s="39" t="inlineStr">
        <is>
          <t xml:space="preserve">  📂 لوازم برقی و پخت و پز  ◀  کی اس تی (KST)</t>
        </is>
      </c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1" t="n"/>
    </row>
    <row r="93" ht="21" customHeight="1" s="38">
      <c r="A93" s="23" t="inlineStr">
        <is>
          <t>کتری و قوری روگازی هرمی ۵ لیتری کی اس تی مدل 604 استیل طلا</t>
        </is>
      </c>
      <c r="B93" s="24" t="n">
        <v>140000000</v>
      </c>
      <c r="C93" s="24">
        <f>IF(OR(ISBLANK(B93),B93=""),"",IF($L93="متغیر","⚠️ والد متغیر نباید قیمت داشته باشد",B93/10))</f>
        <v/>
      </c>
      <c r="D93" s="24" t="n">
        <v>140000000</v>
      </c>
      <c r="E93" s="44">
        <f>IF(OR(ISBLANK(B93),B93="",ISBLANK(D93),D93="",D93&lt;=0,$L93="متغیر"),"",(B93-D93)/D93)</f>
        <v/>
      </c>
      <c r="F93" s="24" t="n">
        <v>133000000</v>
      </c>
      <c r="G93" s="24">
        <f>IF(OR(ISBLANK(F93),F93=""),"",IF($L93="متغیر","",F93/10))</f>
        <v/>
      </c>
      <c r="H93" s="26" t="inlineStr">
        <is>
          <t>✓ موجود</t>
        </is>
      </c>
      <c r="I93" s="26" t="inlineStr">
        <is>
          <t>لوازم برقی و پخت و پز</t>
        </is>
      </c>
      <c r="J93" s="26" t="inlineStr">
        <is>
          <t>لوازم برقی و پخت و پز کی اس تی (KST)</t>
        </is>
      </c>
      <c r="K93" s="26" t="inlineStr">
        <is>
          <t>کی اس تی (KST)</t>
        </is>
      </c>
      <c r="L93" s="26" t="inlineStr">
        <is>
          <t>ساده</t>
        </is>
      </c>
      <c r="M93" s="26" t="n"/>
      <c r="N93" s="26" t="inlineStr">
        <is>
          <t>3662</t>
        </is>
      </c>
      <c r="O93" s="26" t="n"/>
      <c r="P93" s="33" t="inlineStr">
        <is>
          <t>https://hosseinykala.ir/product/kst-604-pyramid-gold-kettle-teapot/</t>
        </is>
      </c>
      <c r="Q93" s="26" t="n"/>
      <c r="R93" s="26" t="inlineStr">
        <is>
          <t>ثبت‌شده در سایت</t>
        </is>
      </c>
    </row>
    <row r="94" ht="21.95" customHeight="1" s="38">
      <c r="A94" s="39" t="inlineStr">
        <is>
          <t xml:space="preserve">  📂 لوازم برقی و پخت و پز  ◀  دلمونتی</t>
        </is>
      </c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1" t="n"/>
    </row>
    <row r="95" ht="21" customHeight="1" s="38">
      <c r="A95" s="23" t="inlineStr">
        <is>
          <t>آون توستر ۶۰ لیتری کانوکشن نان دلمونتی مدل DN-580</t>
        </is>
      </c>
      <c r="B95" s="24" t="n">
        <v>182000000</v>
      </c>
      <c r="C95" s="24">
        <f>IF(OR(ISBLANK(B95),B95=""),"",IF($L95="متغیر","⚠️ والد متغیر نباید قیمت داشته باشد",B95/10))</f>
        <v/>
      </c>
      <c r="D95" s="24" t="n">
        <v>182000000</v>
      </c>
      <c r="E95" s="44">
        <f>IF(OR(ISBLANK(B95),B95="",ISBLANK(D95),D95="",D95&lt;=0,$L95="متغیر"),"",(B95-D95)/D95)</f>
        <v/>
      </c>
      <c r="F95" s="24" t="n">
        <v>172900000</v>
      </c>
      <c r="G95" s="24">
        <f>IF(OR(ISBLANK(F95),F95=""),"",IF($L95="متغیر","",F95/10))</f>
        <v/>
      </c>
      <c r="H95" s="26" t="inlineStr">
        <is>
          <t>✓ موجود</t>
        </is>
      </c>
      <c r="I95" s="26" t="inlineStr">
        <is>
          <t>لوازم برقی و پخت و پز</t>
        </is>
      </c>
      <c r="J95" s="26" t="inlineStr">
        <is>
          <t>لوازم برقی و پخت و پز دلمونتی</t>
        </is>
      </c>
      <c r="K95" s="26" t="inlineStr">
        <is>
          <t>دلمونتی</t>
        </is>
      </c>
      <c r="L95" s="26" t="inlineStr">
        <is>
          <t>ساده</t>
        </is>
      </c>
      <c r="M95" s="26" t="n"/>
      <c r="N95" s="26" t="inlineStr">
        <is>
          <t>3631</t>
        </is>
      </c>
      <c r="O95" s="26" t="n"/>
      <c r="P95" s="33" t="inlineStr">
        <is>
          <t>https://hosseinykala.ir/?p=3631</t>
        </is>
      </c>
      <c r="Q95" s="26" t="n"/>
      <c r="R95" s="26" t="inlineStr">
        <is>
          <t>ثبت‌شده در سایت</t>
        </is>
      </c>
    </row>
    <row r="96" ht="21.95" customHeight="1" s="38">
      <c r="A96" s="39" t="inlineStr">
        <is>
          <t xml:space="preserve">  📂 لوازم برقی و پخت و پز  ◀  زیکو</t>
        </is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1" t="n"/>
    </row>
    <row r="97" ht="21" customHeight="1" s="38">
      <c r="A97" s="23" t="inlineStr">
        <is>
          <t>خردکن برقی ۲ کاسه زیکو مدل 70028</t>
        </is>
      </c>
      <c r="B97" s="24" t="n">
        <v>145000000</v>
      </c>
      <c r="C97" s="24">
        <f>IF(OR(ISBLANK(B97),B97=""),"",IF($L97="متغیر","⚠️ والد متغیر نباید قیمت داشته باشد",B97/10))</f>
        <v/>
      </c>
      <c r="D97" s="24" t="n">
        <v>145000000</v>
      </c>
      <c r="E97" s="44">
        <f>IF(OR(ISBLANK(B97),B97="",ISBLANK(D97),D97="",D97&lt;=0,$L97="متغیر"),"",(B97-D97)/D97)</f>
        <v/>
      </c>
      <c r="F97" s="24" t="n">
        <v>137750000</v>
      </c>
      <c r="G97" s="24">
        <f>IF(OR(ISBLANK(F97),F97=""),"",IF($L97="متغیر","",F97/10))</f>
        <v/>
      </c>
      <c r="H97" s="26" t="inlineStr">
        <is>
          <t>✓ موجود</t>
        </is>
      </c>
      <c r="I97" s="26" t="inlineStr">
        <is>
          <t>لوازم برقی و پخت و پز</t>
        </is>
      </c>
      <c r="J97" s="26" t="inlineStr">
        <is>
          <t>لوازم برقی و پخت و پز زیکو</t>
        </is>
      </c>
      <c r="K97" s="26" t="inlineStr">
        <is>
          <t>زیکو</t>
        </is>
      </c>
      <c r="L97" s="26" t="inlineStr">
        <is>
          <t>ساده</t>
        </is>
      </c>
      <c r="M97" s="26" t="n"/>
      <c r="N97" s="26" t="n">
        <v>4264</v>
      </c>
      <c r="O97" s="26" t="n"/>
      <c r="P97" s="33" t="inlineStr">
        <is>
          <t>https://hosseinykala.ir/product/ziko-zc7028-double-bowl-electric-chopper/</t>
        </is>
      </c>
      <c r="Q97" s="26" t="n"/>
      <c r="R97" s="26" t="inlineStr">
        <is>
          <t>ثبت‌شده در سایت</t>
        </is>
      </c>
    </row>
    <row r="98" ht="21.95" customHeight="1" s="38">
      <c r="A98" s="39" t="inlineStr">
        <is>
          <t xml:space="preserve">  📂 لوازم برقی و پخت و پز  ◀  بوش</t>
        </is>
      </c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1" t="n"/>
    </row>
    <row r="99" ht="21" customHeight="1" s="38">
      <c r="A99" s="23" t="inlineStr">
        <is>
          <t>خردکن برقی بوش</t>
        </is>
      </c>
      <c r="B99" s="24" t="n">
        <v>90000000</v>
      </c>
      <c r="C99" s="24">
        <f>IF(OR(ISBLANK(B99),B99=""),"",IF($L99="متغیر","⚠️ والد متغیر نباید قیمت داشته باشد",B99/10))</f>
        <v/>
      </c>
      <c r="D99" s="24" t="n">
        <v>90000000</v>
      </c>
      <c r="E99" s="44">
        <f>IF(OR(ISBLANK(B99),B99="",ISBLANK(D99),D99="",D99&lt;=0,$L99="متغیر"),"",(B99-D99)/D99)</f>
        <v/>
      </c>
      <c r="F99" s="24" t="n">
        <v>85500000</v>
      </c>
      <c r="G99" s="24">
        <f>IF(OR(ISBLANK(F99),F99=""),"",IF($L99="متغیر","",F99/10))</f>
        <v/>
      </c>
      <c r="H99" s="26" t="inlineStr">
        <is>
          <t>✓ موجود</t>
        </is>
      </c>
      <c r="I99" s="26" t="inlineStr">
        <is>
          <t>لوازم برقی و پخت و پز</t>
        </is>
      </c>
      <c r="J99" s="26" t="inlineStr">
        <is>
          <t>لوازم برقی و پخت و پز بوش</t>
        </is>
      </c>
      <c r="K99" s="26" t="inlineStr">
        <is>
          <t>بوش</t>
        </is>
      </c>
      <c r="L99" s="26" t="inlineStr">
        <is>
          <t>ساده</t>
        </is>
      </c>
      <c r="M99" s="26" t="n"/>
      <c r="N99" s="26" t="n">
        <v>4266</v>
      </c>
      <c r="O99" s="26" t="n"/>
      <c r="P99" s="33" t="inlineStr">
        <is>
          <t>https://hosseinykala.ir/product/bosch-glass-bowl-electric-food-chopper/</t>
        </is>
      </c>
      <c r="Q99" s="26" t="n"/>
      <c r="R99" s="26" t="inlineStr">
        <is>
          <t>ثبت‌شده در سایت</t>
        </is>
      </c>
    </row>
    <row r="100" ht="21.95" customHeight="1" s="38">
      <c r="A100" s="39" t="inlineStr">
        <is>
          <t xml:space="preserve">  📂 لوازم برقی و پخت و پز  ◀  مایر</t>
        </is>
      </c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1" t="n"/>
    </row>
    <row r="101" ht="21" customHeight="1" s="38">
      <c r="A101" s="23" t="inlineStr">
        <is>
          <t>میوه خشک کن مایر مدل 5959</t>
        </is>
      </c>
      <c r="B101" s="24" t="n">
        <v>110000000</v>
      </c>
      <c r="C101" s="24">
        <f>IF(OR(ISBLANK(B101),B101=""),"",IF($L101="متغیر","⚠️ والد متغیر نباید قیمت داشته باشد",B101/10))</f>
        <v/>
      </c>
      <c r="D101" s="24" t="n">
        <v>110000000</v>
      </c>
      <c r="E101" s="44">
        <f>IF(OR(ISBLANK(B101),B101="",ISBLANK(D101),D101="",D101&lt;=0,$L101="متغیر"),"",(B101-D101)/D101)</f>
        <v/>
      </c>
      <c r="F101" s="24" t="n">
        <v>104500000</v>
      </c>
      <c r="G101" s="24">
        <f>IF(OR(ISBLANK(F101),F101=""),"",IF($L101="متغیر","",F101/10))</f>
        <v/>
      </c>
      <c r="H101" s="26" t="inlineStr">
        <is>
          <t>✓ موجود</t>
        </is>
      </c>
      <c r="I101" s="26" t="inlineStr">
        <is>
          <t>لوازم برقی و پخت و پز</t>
        </is>
      </c>
      <c r="J101" s="26" t="inlineStr">
        <is>
          <t>لوازم برقی و پخت و پز مایر</t>
        </is>
      </c>
      <c r="K101" s="26" t="inlineStr">
        <is>
          <t>مایر</t>
        </is>
      </c>
      <c r="L101" s="26" t="inlineStr">
        <is>
          <t>ساده</t>
        </is>
      </c>
      <c r="M101" s="26" t="n"/>
      <c r="N101" s="26" t="n">
        <v>4268</v>
      </c>
      <c r="O101" s="26" t="n"/>
      <c r="P101" s="33" t="inlineStr">
        <is>
          <t>https://hosseinykala.ir/product/maier-mr5959-digital-food-dehydrator/</t>
        </is>
      </c>
      <c r="Q101" s="26" t="n"/>
      <c r="R101" s="26" t="inlineStr">
        <is>
          <t>ثبت‌شده در سایت</t>
        </is>
      </c>
    </row>
  </sheetData>
  <autoFilter ref="A1:R1"/>
  <mergeCells count="20">
    <mergeCell ref="A69:R69"/>
    <mergeCell ref="A90:R90"/>
    <mergeCell ref="A75:R75"/>
    <mergeCell ref="A56:R56"/>
    <mergeCell ref="A71:R71"/>
    <mergeCell ref="A2:R2"/>
    <mergeCell ref="A85:R85"/>
    <mergeCell ref="A47:R47"/>
    <mergeCell ref="A4:R4"/>
    <mergeCell ref="A100:R100"/>
    <mergeCell ref="A96:R96"/>
    <mergeCell ref="A38:R38"/>
    <mergeCell ref="A67:R67"/>
    <mergeCell ref="A92:R92"/>
    <mergeCell ref="A82:R82"/>
    <mergeCell ref="A73:R73"/>
    <mergeCell ref="A98:R98"/>
    <mergeCell ref="A94:R94"/>
    <mergeCell ref="A6:R6"/>
    <mergeCell ref="A88:R88"/>
  </mergeCells>
  <conditionalFormatting sqref="A2:R101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01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01">
    <cfRule type="expression" priority="6" dxfId="3" stopIfTrue="1">
      <formula>AND(ISNUMBER($B2), ISNUMBER($D2), $D2&gt;0, ABS(($B2-$D2)/$D2)&gt;=0.5, $L2&lt;&gt;"متغیر")</formula>
    </cfRule>
  </conditionalFormatting>
  <conditionalFormatting sqref="F2:F101">
    <cfRule type="expression" priority="4" dxfId="2" stopIfTrue="1">
      <formula>AND($L2="متغیر", OR(ISNUMBER(B2), ISNUMBER(F2)))</formula>
    </cfRule>
  </conditionalFormatting>
  <conditionalFormatting sqref="H2:H101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01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01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5"/>
  <sheetViews>
    <sheetView rightToLeft="1" workbookViewId="0">
      <pane ySplit="1" topLeftCell="A77" activePane="bottomLeft" state="frozen"/>
      <selection pane="bottomLeft" activeCell="C88" sqref="C88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نوشیدنی ساز  ◀  گرنویک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چای ساز سماوری گرنویک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نوشیدنی ساز</t>
        </is>
      </c>
      <c r="J3" s="26" t="inlineStr">
        <is>
          <t>نوشیدنی ساز گرنویک</t>
        </is>
      </c>
      <c r="K3" s="26" t="inlineStr">
        <is>
          <t>گرنویک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" customHeight="1" s="38">
      <c r="A4" s="23" t="inlineStr">
        <is>
          <t>اسپرسوساز نارنجی گرنویک</t>
        </is>
      </c>
      <c r="B4" s="24" t="n"/>
      <c r="C4" s="24">
        <f>IF(OR(ISBLANK(B4),B4=""),"",IF($L4="متغیر","⚠️ والد متغیر نباید قیمت داشته باشد",B4/10))</f>
        <v/>
      </c>
      <c r="D4" s="24" t="n"/>
      <c r="E4" s="44">
        <f>IF(OR(ISBLANK(B4),B4="",ISBLANK(D4),D4="",D4&lt;=0,$L4="متغیر"),"",(B4-D4)/D4)</f>
        <v/>
      </c>
      <c r="F4" s="24" t="n"/>
      <c r="G4" s="24">
        <f>IF(OR(ISBLANK(F4),F4=""),"",IF($L4="متغیر","",F4/10))</f>
        <v/>
      </c>
      <c r="H4" s="26" t="inlineStr">
        <is>
          <t>✗ ناموجود</t>
        </is>
      </c>
      <c r="I4" s="26" t="inlineStr">
        <is>
          <t>نوشیدنی ساز</t>
        </is>
      </c>
      <c r="J4" s="26" t="inlineStr">
        <is>
          <t>نوشیدنی ساز گرنویک</t>
        </is>
      </c>
      <c r="K4" s="26" t="inlineStr">
        <is>
          <t>گرنویک</t>
        </is>
      </c>
      <c r="L4" s="26" t="inlineStr">
        <is>
          <t>ساده</t>
        </is>
      </c>
      <c r="M4" s="26" t="n"/>
      <c r="N4" s="26" t="n"/>
      <c r="O4" s="26" t="n"/>
      <c r="P4" s="33" t="n"/>
      <c r="Q4" s="26" t="n"/>
      <c r="R4" s="26" t="inlineStr">
        <is>
          <t>فعلا دست نگه دار</t>
        </is>
      </c>
    </row>
    <row r="5" ht="21" customHeight="1" s="38">
      <c r="A5" s="23" t="inlineStr">
        <is>
          <t>سماور برقی پیرکس ۳.۲ لیتری گرنویک مدل GST-883</t>
        </is>
      </c>
      <c r="B5" s="24" t="n">
        <v>230000000</v>
      </c>
      <c r="C5" s="24">
        <f>IF(OR(ISBLANK(B5),B5=""),"",IF($L5="متغیر","⚠️ والد متغیر نباید قیمت داشته باشد",B5/10))</f>
        <v/>
      </c>
      <c r="D5" s="24" t="n">
        <v>230000000</v>
      </c>
      <c r="E5" s="44">
        <f>IF(OR(ISBLANK(B5),B5="",ISBLANK(D5),D5="",D5&lt;=0,$L5="متغیر"),"",(B5-D5)/D5)</f>
        <v/>
      </c>
      <c r="F5" s="24" t="n">
        <v>218500000</v>
      </c>
      <c r="G5" s="24">
        <f>IF(OR(ISBLANK(F5),F5=""),"",IF($L5="متغیر","",F5/10))</f>
        <v/>
      </c>
      <c r="H5" s="26" t="inlineStr">
        <is>
          <t>✓ موجود</t>
        </is>
      </c>
      <c r="I5" s="26" t="inlineStr">
        <is>
          <t>نوشیدنی ساز</t>
        </is>
      </c>
      <c r="J5" s="26" t="inlineStr">
        <is>
          <t>نوشیدنی ساز گرنویک</t>
        </is>
      </c>
      <c r="K5" s="26" t="inlineStr">
        <is>
          <t>گرنویک</t>
        </is>
      </c>
      <c r="L5" s="26" t="inlineStr">
        <is>
          <t>ساده</t>
        </is>
      </c>
      <c r="M5" s="26" t="n"/>
      <c r="N5" s="26" t="inlineStr">
        <is>
          <t>3681</t>
        </is>
      </c>
      <c r="O5" s="26" t="n"/>
      <c r="P5" s="33" t="inlineStr">
        <is>
          <t>https://hosseinykala.ir/?p=3681</t>
        </is>
      </c>
      <c r="Q5" s="26" t="n"/>
      <c r="R5" s="26" t="inlineStr">
        <is>
          <t>ثبت‌شده در سایت</t>
        </is>
      </c>
    </row>
    <row r="6" ht="21" customHeight="1" s="38">
      <c r="A6" s="23" t="inlineStr">
        <is>
          <t>اسپرسوساز ۲۰ بار گرنویک مدل رترو آنالوگ</t>
        </is>
      </c>
      <c r="B6" s="24" t="n">
        <v>290000000</v>
      </c>
      <c r="C6" s="24">
        <f>IF(OR(ISBLANK(B6),B6=""),"",IF($L6="متغیر","⚠️ والد متغیر نباید قیمت داشته باشد",B6/10))</f>
        <v/>
      </c>
      <c r="D6" s="24" t="n">
        <v>290000000</v>
      </c>
      <c r="E6" s="44">
        <f>IF(OR(ISBLANK(B6),B6="",ISBLANK(D6),D6="",D6&lt;=0,$L6="متغیر"),"",(B6-D6)/D6)</f>
        <v/>
      </c>
      <c r="F6" s="24" t="n">
        <v>275500000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نوشیدنی ساز</t>
        </is>
      </c>
      <c r="J6" s="26" t="inlineStr">
        <is>
          <t>نوشیدنی ساز گرنویک</t>
        </is>
      </c>
      <c r="K6" s="26" t="inlineStr">
        <is>
          <t>گرنویک</t>
        </is>
      </c>
      <c r="L6" s="26" t="inlineStr">
        <is>
          <t>ساده</t>
        </is>
      </c>
      <c r="M6" s="26" t="n"/>
      <c r="N6" s="26" t="inlineStr">
        <is>
          <t>3679</t>
        </is>
      </c>
      <c r="O6" s="26" t="n"/>
      <c r="P6" s="33" t="inlineStr">
        <is>
          <t>https://hosseinykala.ir/?p=3679</t>
        </is>
      </c>
      <c r="Q6" s="26" t="n"/>
      <c r="R6" s="26" t="inlineStr">
        <is>
          <t>ثبت‌شده در سایت</t>
        </is>
      </c>
    </row>
    <row r="7" ht="21.95" customHeight="1" s="38">
      <c r="A7" s="39" t="inlineStr">
        <is>
          <t xml:space="preserve">  📂 نوشیدنی ساز  ◀  دونالکس</t>
        </is>
      </c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1" t="n"/>
    </row>
    <row r="8" ht="21" customHeight="1" s="38">
      <c r="A8" s="23" t="inlineStr">
        <is>
          <t>آبمیوه‌گیری تک‌کاره ۸۰۰ وات دونالکس مدل DN-120</t>
        </is>
      </c>
      <c r="B8" s="24" t="n">
        <v>290000000</v>
      </c>
      <c r="C8" s="24">
        <f>IF(OR(ISBLANK(B8),B8=""),"",IF($L8="متغیر","⚠️ والد متغیر نباید قیمت داشته باشد",B8/10))</f>
        <v/>
      </c>
      <c r="D8" s="24" t="n">
        <v>290000000</v>
      </c>
      <c r="E8" s="44">
        <f>IF(OR(ISBLANK(B8),B8="",ISBLANK(D8),D8="",D8&lt;=0,$L8="متغیر"),"",(B8-D8)/D8)</f>
        <v/>
      </c>
      <c r="F8" s="24" t="n">
        <v>275500000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نوشیدنی ساز</t>
        </is>
      </c>
      <c r="J8" s="26" t="inlineStr">
        <is>
          <t>نوشیدنی ساز دونالکس</t>
        </is>
      </c>
      <c r="K8" s="26" t="inlineStr">
        <is>
          <t>دونالکس</t>
        </is>
      </c>
      <c r="L8" s="26" t="inlineStr">
        <is>
          <t>ساده</t>
        </is>
      </c>
      <c r="M8" s="26" t="n"/>
      <c r="N8" s="26" t="inlineStr">
        <is>
          <t>3711</t>
        </is>
      </c>
      <c r="O8" s="26" t="n"/>
      <c r="P8" s="33" t="inlineStr">
        <is>
          <t>https://hosseinykala.ir/?p=3711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چای ساز دونالکس مدل DN-185</t>
        </is>
      </c>
      <c r="B9" s="24" t="n">
        <v>220000000</v>
      </c>
      <c r="C9" s="24">
        <f>IF(OR(ISBLANK(B9),B9=""),"",IF($L9="متغیر","⚠️ والد متغیر نباید قیمت داشته باشد",B9/10))</f>
        <v/>
      </c>
      <c r="D9" s="24" t="n">
        <v>220000000</v>
      </c>
      <c r="E9" s="44">
        <f>IF(OR(ISBLANK(B9),B9="",ISBLANK(D9),D9="",D9&lt;=0,$L9="متغیر"),"",(B9-D9)/D9)</f>
        <v/>
      </c>
      <c r="F9" s="24" t="n">
        <v>209000000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نوشیدنی ساز</t>
        </is>
      </c>
      <c r="J9" s="26" t="inlineStr">
        <is>
          <t>نوشیدنی ساز دونالکس</t>
        </is>
      </c>
      <c r="K9" s="26" t="inlineStr">
        <is>
          <t>دونالکس</t>
        </is>
      </c>
      <c r="L9" s="26" t="inlineStr">
        <is>
          <t>ساده</t>
        </is>
      </c>
      <c r="M9" s="26" t="n"/>
      <c r="N9" s="26" t="inlineStr">
        <is>
          <t>3457</t>
        </is>
      </c>
      <c r="O9" s="26" t="n"/>
      <c r="P9" s="33" t="inlineStr">
        <is>
          <t>https://hosseinykala.ir/?p=3457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مخلوط کن و آسیاب کن 1.5 لیتری دونالکس مدل DN-205</t>
        </is>
      </c>
      <c r="B10" s="24" t="n">
        <v>230000000</v>
      </c>
      <c r="C10" s="24">
        <f>IF(OR(ISBLANK(B10),B10=""),"",IF($L10="متغیر","⚠️ والد متغیر نباید قیمت داشته باشد",B10/10))</f>
        <v/>
      </c>
      <c r="D10" s="24" t="n">
        <v>230000000</v>
      </c>
      <c r="E10" s="44">
        <f>IF(OR(ISBLANK(B10),B10="",ISBLANK(D10),D10="",D10&lt;=0,$L10="متغیر"),"",(B10-D10)/D10)</f>
        <v/>
      </c>
      <c r="F10" s="24" t="n">
        <v>218500000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نوشیدنی ساز</t>
        </is>
      </c>
      <c r="J10" s="26" t="inlineStr">
        <is>
          <t>نوشیدنی ساز دونالکس</t>
        </is>
      </c>
      <c r="K10" s="26" t="inlineStr">
        <is>
          <t>دونالکس</t>
        </is>
      </c>
      <c r="L10" s="26" t="inlineStr">
        <is>
          <t>ساده</t>
        </is>
      </c>
      <c r="M10" s="26" t="n"/>
      <c r="N10" s="26" t="inlineStr">
        <is>
          <t>3035</t>
        </is>
      </c>
      <c r="O10" s="26" t="n"/>
      <c r="P10" s="33" t="inlineStr">
        <is>
          <t>https://hosseinykala.ir/?p=3035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آبمیوه‌گیری ۴ کاره ۱۰۰۰ وات دونالکس مدل DN-110</t>
        </is>
      </c>
      <c r="B11" s="24" t="n">
        <v>375000000</v>
      </c>
      <c r="C11" s="24">
        <f>IF(OR(ISBLANK(B11),B11=""),"",IF($L11="متغیر","⚠️ والد متغیر نباید قیمت داشته باشد",B11/10))</f>
        <v/>
      </c>
      <c r="D11" s="24" t="n">
        <v>375000000</v>
      </c>
      <c r="E11" s="44">
        <f>IF(OR(ISBLANK(B11),B11="",ISBLANK(D11),D11="",D11&lt;=0,$L11="متغیر"),"",(B11-D11)/D11)</f>
        <v/>
      </c>
      <c r="F11" s="24" t="n">
        <v>356250000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نوشیدنی ساز</t>
        </is>
      </c>
      <c r="J11" s="26" t="inlineStr">
        <is>
          <t>نوشیدنی ساز دونالکس</t>
        </is>
      </c>
      <c r="K11" s="26" t="inlineStr">
        <is>
          <t>دونالکس</t>
        </is>
      </c>
      <c r="L11" s="26" t="inlineStr">
        <is>
          <t>ساده</t>
        </is>
      </c>
      <c r="M11" s="26" t="n"/>
      <c r="N11" s="26" t="inlineStr">
        <is>
          <t>3019</t>
        </is>
      </c>
      <c r="O11" s="26" t="n"/>
      <c r="P11" s="33" t="inlineStr">
        <is>
          <t>https://hosseinykala.ir/?p=3019</t>
        </is>
      </c>
      <c r="Q11" s="26" t="n"/>
      <c r="R11" s="26" t="inlineStr">
        <is>
          <t>ثبت‌شده در سایت</t>
        </is>
      </c>
    </row>
    <row r="12" ht="21" customHeight="1" s="38">
      <c r="A12" s="23" t="inlineStr">
        <is>
          <t>اسپرسو ساز ۱۸ میلی لیتر دونالکس مدل DN475</t>
        </is>
      </c>
      <c r="B12" s="24" t="n">
        <v>420000000</v>
      </c>
      <c r="C12" s="24">
        <f>IF(OR(ISBLANK(B12),B12=""),"",IF($L12="متغیر","⚠️ والد متغیر نباید قیمت داشته باشد",B12/10))</f>
        <v/>
      </c>
      <c r="D12" s="24" t="n">
        <v>420000000</v>
      </c>
      <c r="E12" s="44">
        <f>IF(OR(ISBLANK(B12),B12="",ISBLANK(D12),D12="",D12&lt;=0,$L12="متغیر"),"",(B12-D12)/D12)</f>
        <v/>
      </c>
      <c r="F12" s="24" t="n">
        <v>399000000</v>
      </c>
      <c r="G12" s="24">
        <f>IF(OR(ISBLANK(F12),F12=""),"",IF($L12="متغیر","",F12/10))</f>
        <v/>
      </c>
      <c r="H12" s="26" t="inlineStr">
        <is>
          <t>✓ موجود</t>
        </is>
      </c>
      <c r="I12" s="26" t="inlineStr">
        <is>
          <t>نوشیدنی ساز</t>
        </is>
      </c>
      <c r="J12" s="26" t="inlineStr">
        <is>
          <t>نوشیدنی ساز دونالکس</t>
        </is>
      </c>
      <c r="K12" s="26" t="inlineStr">
        <is>
          <t>دونالکس</t>
        </is>
      </c>
      <c r="L12" s="26" t="inlineStr">
        <is>
          <t>ساده</t>
        </is>
      </c>
      <c r="M12" s="26" t="n"/>
      <c r="N12" s="26" t="inlineStr">
        <is>
          <t>3016</t>
        </is>
      </c>
      <c r="O12" s="26" t="n"/>
      <c r="P12" s="33" t="inlineStr">
        <is>
          <t>https://hosseinykala.ir/?p=3016</t>
        </is>
      </c>
      <c r="Q12" s="26" t="n"/>
      <c r="R12" s="26" t="inlineStr">
        <is>
          <t>ثبت‌شده در سایت</t>
        </is>
      </c>
    </row>
    <row r="13" ht="21" customHeight="1" s="38">
      <c r="A13" s="23" t="inlineStr">
        <is>
          <t>اسپرسو ساز ۱۲ میلی لیتر دونالکس مدلDN480</t>
        </is>
      </c>
      <c r="B13" s="24" t="n">
        <v>490000000</v>
      </c>
      <c r="C13" s="24">
        <f>IF(OR(ISBLANK(B13),B13=""),"",IF($L13="متغیر","⚠️ والد متغیر نباید قیمت داشته باشد",B13/10))</f>
        <v/>
      </c>
      <c r="D13" s="24" t="n">
        <v>490000000</v>
      </c>
      <c r="E13" s="44">
        <f>IF(OR(ISBLANK(B13),B13="",ISBLANK(D13),D13="",D13&lt;=0,$L13="متغیر"),"",(B13-D13)/D13)</f>
        <v/>
      </c>
      <c r="F13" s="24" t="n">
        <v>465500000</v>
      </c>
      <c r="G13" s="24">
        <f>IF(OR(ISBLANK(F13),F13=""),"",IF($L13="متغیر","",F13/10))</f>
        <v/>
      </c>
      <c r="H13" s="26" t="inlineStr">
        <is>
          <t>✓ موجود</t>
        </is>
      </c>
      <c r="I13" s="26" t="inlineStr">
        <is>
          <t>نوشیدنی ساز</t>
        </is>
      </c>
      <c r="J13" s="26" t="inlineStr">
        <is>
          <t>نوشیدنی ساز دونالکس</t>
        </is>
      </c>
      <c r="K13" s="26" t="inlineStr">
        <is>
          <t>دونالکس</t>
        </is>
      </c>
      <c r="L13" s="26" t="inlineStr">
        <is>
          <t>ساده</t>
        </is>
      </c>
      <c r="M13" s="26" t="n"/>
      <c r="N13" s="26" t="inlineStr">
        <is>
          <t>3013</t>
        </is>
      </c>
      <c r="O13" s="26" t="n"/>
      <c r="P13" s="33" t="inlineStr">
        <is>
          <t>https://hosseinykala.ir/?p=3013</t>
        </is>
      </c>
      <c r="Q13" s="26" t="n"/>
      <c r="R13" s="26" t="inlineStr">
        <is>
          <t>ثبت‌شده در سایت</t>
        </is>
      </c>
    </row>
    <row r="14" ht="21" customHeight="1" s="38">
      <c r="A14" s="23" t="inlineStr">
        <is>
          <t>همزن دستی دونالکس مدل 355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نوشیدنی ساز</t>
        </is>
      </c>
      <c r="J14" s="26" t="inlineStr">
        <is>
          <t>نوشیدنی ساز دونالکس</t>
        </is>
      </c>
      <c r="K14" s="26" t="inlineStr">
        <is>
          <t>دونالکس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" customHeight="1" s="38">
      <c r="A15" s="23" t="inlineStr">
        <is>
          <t>اسپرسوساز دونالکس 380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نوشیدنی ساز</t>
        </is>
      </c>
      <c r="J15" s="26" t="inlineStr">
        <is>
          <t>نوشیدنی ساز دونالکس</t>
        </is>
      </c>
      <c r="K15" s="26" t="inlineStr">
        <is>
          <t>دونالکس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اسپرسوساز دونالکس 375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نوشیدنی ساز</t>
        </is>
      </c>
      <c r="J16" s="26" t="inlineStr">
        <is>
          <t>نوشیدنی ساز دونالکس</t>
        </is>
      </c>
      <c r="K16" s="26" t="inlineStr">
        <is>
          <t>دونالکس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نوشیدنی ساز  ◀  وستینگهاوس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15" t="inlineStr">
        <is>
          <t>کتری برقی رترو ۲۲۰۰ وات وستینگهاوس مدل WKKE210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نوشیدنی ساز</t>
        </is>
      </c>
      <c r="J18" s="18" t="inlineStr">
        <is>
          <t>نوشیدنی ساز وستینگهاوس</t>
        </is>
      </c>
      <c r="K18" s="18" t="inlineStr">
        <is>
          <t>وستینگهاوس</t>
        </is>
      </c>
      <c r="L18" s="18" t="inlineStr">
        <is>
          <t>متغیر</t>
        </is>
      </c>
      <c r="M18" s="18" t="inlineStr">
        <is>
          <t>شامل 3 تنوع</t>
        </is>
      </c>
      <c r="N18" s="18" t="inlineStr">
        <is>
          <t>3664</t>
        </is>
      </c>
      <c r="O18" s="18" t="n"/>
      <c r="P18" s="31" t="inlineStr">
        <is>
          <t>https://hosseinykala.ir/?p=3664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کرم</t>
        </is>
      </c>
      <c r="B19" s="20" t="n">
        <v>370000000</v>
      </c>
      <c r="C19" s="20">
        <f>IF(OR(ISBLANK(B19),B19=""),"",IF($L19="متغیر","⚠️ والد متغیر نباید قیمت داشته باشد",B19/10))</f>
        <v/>
      </c>
      <c r="D19" s="20" t="n">
        <v>370000000</v>
      </c>
      <c r="E19" s="43">
        <f>IF(OR(ISBLANK(B19),B19="",ISBLANK(D19),D19="",D19&lt;=0,$L19="متغیر"),"",(B19-D19)/D19)</f>
        <v/>
      </c>
      <c r="F19" s="20" t="n">
        <v>351500000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نوشیدنی ساز</t>
        </is>
      </c>
      <c r="J19" s="22" t="inlineStr">
        <is>
          <t>نوشیدنی ساز وستینگهاوس</t>
        </is>
      </c>
      <c r="K19" s="22" t="inlineStr">
        <is>
          <t>وستینگهاوس</t>
        </is>
      </c>
      <c r="L19" s="22" t="inlineStr">
        <is>
          <t>تنوع</t>
        </is>
      </c>
      <c r="M19" s="22" t="inlineStr">
        <is>
          <t>رنگ: کرم</t>
        </is>
      </c>
      <c r="N19" s="22" t="inlineStr">
        <is>
          <t>3664</t>
        </is>
      </c>
      <c r="O19" s="22" t="n">
        <v>3691</v>
      </c>
      <c r="P19" s="32" t="inlineStr">
        <is>
          <t>https://hosseinykala.ir/?p=3664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آبی</t>
        </is>
      </c>
      <c r="B20" s="20" t="n">
        <v>370000000</v>
      </c>
      <c r="C20" s="20">
        <f>IF(OR(ISBLANK(B20),B20=""),"",IF($L20="متغیر","⚠️ والد متغیر نباید قیمت داشته باشد",B20/10))</f>
        <v/>
      </c>
      <c r="D20" s="20" t="n">
        <v>370000000</v>
      </c>
      <c r="E20" s="43">
        <f>IF(OR(ISBLANK(B20),B20="",ISBLANK(D20),D20="",D20&lt;=0,$L20="متغیر"),"",(B20-D20)/D20)</f>
        <v/>
      </c>
      <c r="F20" s="20" t="n">
        <v>351500000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نوشیدنی ساز</t>
        </is>
      </c>
      <c r="J20" s="22" t="inlineStr">
        <is>
          <t>نوشیدنی ساز وستینگهاوس</t>
        </is>
      </c>
      <c r="K20" s="22" t="inlineStr">
        <is>
          <t>وستینگهاوس</t>
        </is>
      </c>
      <c r="L20" s="22" t="inlineStr">
        <is>
          <t>تنوع</t>
        </is>
      </c>
      <c r="M20" s="22" t="inlineStr">
        <is>
          <t>رنگ: آبی</t>
        </is>
      </c>
      <c r="N20" s="22" t="inlineStr">
        <is>
          <t>3664</t>
        </is>
      </c>
      <c r="O20" s="22" t="n">
        <v>3690</v>
      </c>
      <c r="P20" s="32" t="inlineStr">
        <is>
          <t>https://hosseinykala.ir/?p=3664</t>
        </is>
      </c>
      <c r="Q20" s="22" t="n"/>
      <c r="R20" s="22" t="inlineStr">
        <is>
          <t>ثبت‌شده در سایت</t>
        </is>
      </c>
    </row>
    <row r="21" ht="18.95" customHeight="1" s="38">
      <c r="A21" s="35" t="inlineStr">
        <is>
          <t>↳ رنگ: قرمز</t>
        </is>
      </c>
      <c r="B21" s="24" t="n">
        <v>400000000</v>
      </c>
      <c r="C21" s="24">
        <f>IF(OR(ISBLANK(B21),B21=""),"",IF($L21="متغیر","⚠️ والد متغیر نباید قیمت داشته باشد",B21/10))</f>
        <v/>
      </c>
      <c r="D21" s="24" t="n">
        <v>400000000</v>
      </c>
      <c r="E21" s="44">
        <f>IF(OR(ISBLANK(B21),B21="",ISBLANK(D21),D21="",D21&lt;=0,$L21="متغیر"),"",(B21-D21)/D21)</f>
        <v/>
      </c>
      <c r="F21" s="24" t="n">
        <v>380000000</v>
      </c>
      <c r="G21" s="24">
        <f>IF(OR(ISBLANK(F21),F21=""),"",IF($L21="متغیر","",F21/10))</f>
        <v/>
      </c>
      <c r="H21" s="36" t="inlineStr">
        <is>
          <t>✓ موجود</t>
        </is>
      </c>
      <c r="I21" s="36" t="inlineStr">
        <is>
          <t>نوشیدنی ساز</t>
        </is>
      </c>
      <c r="J21" s="36" t="inlineStr">
        <is>
          <t>نوشیدنی ساز وستینگهاوس</t>
        </is>
      </c>
      <c r="K21" s="36" t="inlineStr">
        <is>
          <t>وستینگهاوس</t>
        </is>
      </c>
      <c r="L21" s="36" t="inlineStr">
        <is>
          <t>تنوع</t>
        </is>
      </c>
      <c r="M21" s="36" t="inlineStr">
        <is>
          <t>رنگ: قرمز</t>
        </is>
      </c>
      <c r="N21" s="36" t="inlineStr">
        <is>
          <t>3664</t>
        </is>
      </c>
      <c r="O21" s="36" t="n">
        <v>4243</v>
      </c>
      <c r="P21" s="33" t="inlineStr">
        <is>
          <t>https://hosseinykala.ir/product/westinghouse-retro-electric-kettle-wkke210/</t>
        </is>
      </c>
      <c r="Q21" s="36" t="n"/>
      <c r="R21" s="36" t="inlineStr">
        <is>
          <t>ثبت‌شده در سایت</t>
        </is>
      </c>
    </row>
    <row r="22" ht="21" customHeight="1" s="38">
      <c r="A22" s="15" t="inlineStr">
        <is>
          <t>مخلوط‌کن رترو ۶۰۰ وات وستینگهاوس مدل WKBEB221</t>
        </is>
      </c>
      <c r="B22" s="16" t="n"/>
      <c r="C22" s="16">
        <f>IF(OR(B22="",B22=0),"",B22/10)</f>
        <v/>
      </c>
      <c r="D22" s="16" t="n"/>
      <c r="E22" s="42">
        <f>IF(ISNUMBER(D22),(B22-D22)/D22,"")</f>
        <v/>
      </c>
      <c r="F22" s="16" t="n"/>
      <c r="G22" s="16">
        <f>IF(OR(F22="",F22=0),"",F22/10)</f>
        <v/>
      </c>
      <c r="H22" s="18" t="inlineStr">
        <is>
          <t>✓ موجود</t>
        </is>
      </c>
      <c r="I22" s="18" t="inlineStr">
        <is>
          <t>نوشیدنی ساز</t>
        </is>
      </c>
      <c r="J22" s="18" t="inlineStr">
        <is>
          <t>نوشیدنی ساز وستینگهاوس</t>
        </is>
      </c>
      <c r="K22" s="18" t="inlineStr">
        <is>
          <t>وستینگهاوس</t>
        </is>
      </c>
      <c r="L22" s="18" t="inlineStr">
        <is>
          <t>متغیر</t>
        </is>
      </c>
      <c r="M22" s="18" t="inlineStr">
        <is>
          <t>شامل 3 تنوع</t>
        </is>
      </c>
      <c r="N22" s="18" t="inlineStr">
        <is>
          <t>3640</t>
        </is>
      </c>
      <c r="O22" s="18" t="n"/>
      <c r="P22" s="31" t="inlineStr">
        <is>
          <t>https://hosseinykala.ir/?p=3640</t>
        </is>
      </c>
      <c r="Q22" s="18" t="n"/>
      <c r="R22" s="18" t="inlineStr">
        <is>
          <t>ثبت‌شده در سایت</t>
        </is>
      </c>
    </row>
    <row r="23" ht="18.95" customHeight="1" s="38">
      <c r="A23" s="19" t="inlineStr">
        <is>
          <t>↳ رنگ: قرمز</t>
        </is>
      </c>
      <c r="B23" s="20" t="n">
        <v>380000000</v>
      </c>
      <c r="C23" s="20">
        <f>IF(OR(ISBLANK(B23),B23=""),"",IF($L23="متغیر","⚠️ والد متغیر نباید قیمت داشته باشد",B23/10))</f>
        <v/>
      </c>
      <c r="D23" s="20" t="n">
        <v>380000000</v>
      </c>
      <c r="E23" s="43">
        <f>IF(OR(ISBLANK(B23),B23="",ISBLANK(D23),D23="",D23&lt;=0,$L23="متغیر"),"",(B23-D23)/D23)</f>
        <v/>
      </c>
      <c r="F23" s="20" t="n">
        <v>361000000</v>
      </c>
      <c r="G23" s="20">
        <f>IF(OR(ISBLANK(F23),F23=""),"",IF($L23="متغیر","",F23/10))</f>
        <v/>
      </c>
      <c r="H23" s="22" t="inlineStr">
        <is>
          <t>✓ موجود</t>
        </is>
      </c>
      <c r="I23" s="22" t="inlineStr">
        <is>
          <t>نوشیدنی ساز</t>
        </is>
      </c>
      <c r="J23" s="22" t="inlineStr">
        <is>
          <t>نوشیدنی ساز وستینگهاوس</t>
        </is>
      </c>
      <c r="K23" s="22" t="inlineStr">
        <is>
          <t>وستینگهاوس</t>
        </is>
      </c>
      <c r="L23" s="22" t="inlineStr">
        <is>
          <t>تنوع</t>
        </is>
      </c>
      <c r="M23" s="22" t="inlineStr">
        <is>
          <t>رنگ: قرمز</t>
        </is>
      </c>
      <c r="N23" s="22" t="inlineStr">
        <is>
          <t>3640</t>
        </is>
      </c>
      <c r="O23" s="22" t="n">
        <v>3698</v>
      </c>
      <c r="P23" s="32" t="inlineStr">
        <is>
          <t>https://hosseinykala.ir/?p=3640</t>
        </is>
      </c>
      <c r="Q23" s="22" t="n"/>
      <c r="R23" s="22" t="inlineStr">
        <is>
          <t>ثبت‌شده در سایت</t>
        </is>
      </c>
    </row>
    <row r="24" ht="18.95" customHeight="1" s="38">
      <c r="A24" s="19" t="inlineStr">
        <is>
          <t>↳ رنگ: کرم</t>
        </is>
      </c>
      <c r="B24" s="20" t="n">
        <v>360000000</v>
      </c>
      <c r="C24" s="20">
        <f>IF(OR(ISBLANK(B24),B24=""),"",IF($L24="متغیر","⚠️ والد متغیر نباید قیمت داشته باشد",B24/10))</f>
        <v/>
      </c>
      <c r="D24" s="20" t="n">
        <v>360000000</v>
      </c>
      <c r="E24" s="43">
        <f>IF(OR(ISBLANK(B24),B24="",ISBLANK(D24),D24="",D24&lt;=0,$L24="متغیر"),"",(B24-D24)/D24)</f>
        <v/>
      </c>
      <c r="F24" s="20" t="n">
        <v>342000000</v>
      </c>
      <c r="G24" s="20">
        <f>IF(OR(ISBLANK(F24),F24=""),"",IF($L24="متغیر","",F24/10))</f>
        <v/>
      </c>
      <c r="H24" s="22" t="inlineStr">
        <is>
          <t>✓ موجود</t>
        </is>
      </c>
      <c r="I24" s="22" t="inlineStr">
        <is>
          <t>نوشیدنی ساز</t>
        </is>
      </c>
      <c r="J24" s="22" t="inlineStr">
        <is>
          <t>نوشیدنی ساز وستینگهاوس</t>
        </is>
      </c>
      <c r="K24" s="22" t="inlineStr">
        <is>
          <t>وستینگهاوس</t>
        </is>
      </c>
      <c r="L24" s="22" t="inlineStr">
        <is>
          <t>تنوع</t>
        </is>
      </c>
      <c r="M24" s="22" t="inlineStr">
        <is>
          <t>رنگ: کرم</t>
        </is>
      </c>
      <c r="N24" s="22" t="inlineStr">
        <is>
          <t>3640</t>
        </is>
      </c>
      <c r="O24" s="22" t="n">
        <v>3697</v>
      </c>
      <c r="P24" s="32" t="inlineStr">
        <is>
          <t>https://hosseinykala.ir/?p=3640</t>
        </is>
      </c>
      <c r="Q24" s="22" t="n"/>
      <c r="R24" s="22" t="inlineStr">
        <is>
          <t>ثبت‌شده در سایت</t>
        </is>
      </c>
    </row>
    <row r="25" ht="18.95" customHeight="1" s="38">
      <c r="A25" s="19" t="inlineStr">
        <is>
          <t>↳ رنگ: آبی</t>
        </is>
      </c>
      <c r="B25" s="20" t="n">
        <v>360000000</v>
      </c>
      <c r="C25" s="20">
        <f>IF(OR(ISBLANK(B25),B25=""),"",IF($L25="متغیر","⚠️ والد متغیر نباید قیمت داشته باشد",B25/10))</f>
        <v/>
      </c>
      <c r="D25" s="20" t="n">
        <v>360000000</v>
      </c>
      <c r="E25" s="43">
        <f>IF(OR(ISBLANK(B25),B25="",ISBLANK(D25),D25="",D25&lt;=0,$L25="متغیر"),"",(B25-D25)/D25)</f>
        <v/>
      </c>
      <c r="F25" s="20" t="n">
        <v>342000000</v>
      </c>
      <c r="G25" s="20">
        <f>IF(OR(ISBLANK(F25),F25=""),"",IF($L25="متغیر","",F25/10))</f>
        <v/>
      </c>
      <c r="H25" s="22" t="inlineStr">
        <is>
          <t>✓ موجود</t>
        </is>
      </c>
      <c r="I25" s="22" t="inlineStr">
        <is>
          <t>نوشیدنی ساز</t>
        </is>
      </c>
      <c r="J25" s="22" t="inlineStr">
        <is>
          <t>نوشیدنی ساز وستینگهاوس</t>
        </is>
      </c>
      <c r="K25" s="22" t="inlineStr">
        <is>
          <t>وستینگهاوس</t>
        </is>
      </c>
      <c r="L25" s="22" t="inlineStr">
        <is>
          <t>تنوع</t>
        </is>
      </c>
      <c r="M25" s="22" t="inlineStr">
        <is>
          <t>رنگ: آبی</t>
        </is>
      </c>
      <c r="N25" s="22" t="inlineStr">
        <is>
          <t>3640</t>
        </is>
      </c>
      <c r="O25" s="22" t="n">
        <v>3696</v>
      </c>
      <c r="P25" s="32" t="inlineStr">
        <is>
          <t>https://hosseinykala.ir/?p=3640</t>
        </is>
      </c>
      <c r="Q25" s="22" t="n"/>
      <c r="R25" s="22" t="inlineStr">
        <is>
          <t>ثبت‌شده در سایت</t>
        </is>
      </c>
    </row>
    <row r="26" ht="21" customHeight="1" s="38">
      <c r="A26" s="23" t="inlineStr">
        <is>
          <t>اسپرسوساز رترو وستینگهاوس مدل 1663</t>
        </is>
      </c>
      <c r="B26" s="24" t="n">
        <v>630000000</v>
      </c>
      <c r="C26" s="24">
        <f>IF(OR(ISBLANK(B26),B26=""),"",IF($L26="متغیر","⚠️ والد متغیر نباید قیمت داشته باشد",B26/10))</f>
        <v/>
      </c>
      <c r="D26" s="24" t="n">
        <v>630000000</v>
      </c>
      <c r="E26" s="44">
        <f>IF(OR(ISBLANK(B26),B26="",ISBLANK(D26),D26="",D26&lt;=0,$L26="متغیر"),"",(B26-D26)/D26)</f>
        <v/>
      </c>
      <c r="F26" s="24" t="n">
        <v>598500000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نوشیدنی ساز</t>
        </is>
      </c>
      <c r="J26" s="26" t="inlineStr">
        <is>
          <t>نوشیدنی ساز وستینگهاوس</t>
        </is>
      </c>
      <c r="K26" s="26" t="inlineStr">
        <is>
          <t>وستینگهاوس</t>
        </is>
      </c>
      <c r="L26" s="26" t="inlineStr">
        <is>
          <t>ساده</t>
        </is>
      </c>
      <c r="M26" s="26" t="n"/>
      <c r="N26" s="26" t="n">
        <v>4245</v>
      </c>
      <c r="O26" s="26" t="n"/>
      <c r="P26" s="33" t="inlineStr">
        <is>
          <t>https://hosseinykala.ir/product/westinghouse-wkcmh1663-retro-espresso-maker/</t>
        </is>
      </c>
      <c r="Q26" s="26" t="n"/>
      <c r="R26" s="26" t="inlineStr">
        <is>
          <t>ثبت‌شده در سایت</t>
        </is>
      </c>
    </row>
    <row r="27" ht="21.95" customHeight="1" s="38">
      <c r="A27" s="39" t="inlineStr">
        <is>
          <t xml:space="preserve">  📂 نوشیدنی ساز  ◀  اوریکس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1" t="n"/>
    </row>
    <row r="28" ht="21" customHeight="1" s="38">
      <c r="A28" s="23" t="inlineStr">
        <is>
          <t>همزن کاسه چرخدار اوریکس</t>
        </is>
      </c>
      <c r="B28" s="24" t="n"/>
      <c r="C28" s="24">
        <f>IF(OR(ISBLANK(B28),B28=""),"",IF($L28="متغیر","⚠️ والد متغیر نباید قیمت داشته باشد",B28/10))</f>
        <v/>
      </c>
      <c r="D28" s="24" t="n"/>
      <c r="E28" s="44">
        <f>IF(OR(ISBLANK(B28),B28="",ISBLANK(D28),D28="",D28&lt;=0,$L28="متغیر"),"",(B28-D28)/D28)</f>
        <v/>
      </c>
      <c r="F28" s="24" t="n"/>
      <c r="G28" s="24">
        <f>IF(OR(ISBLANK(F28),F28=""),"",IF($L28="متغیر","",F28/10))</f>
        <v/>
      </c>
      <c r="H28" s="26" t="inlineStr">
        <is>
          <t>✗ ناموجود</t>
        </is>
      </c>
      <c r="I28" s="26" t="inlineStr">
        <is>
          <t>نوشیدنی ساز</t>
        </is>
      </c>
      <c r="J28" s="26" t="inlineStr">
        <is>
          <t>نوشیدنی ساز اوریکس</t>
        </is>
      </c>
      <c r="K28" s="26" t="inlineStr">
        <is>
          <t>اوریکس</t>
        </is>
      </c>
      <c r="L28" s="26" t="inlineStr">
        <is>
          <t>ساده</t>
        </is>
      </c>
      <c r="M28" s="26" t="n"/>
      <c r="N28" s="26" t="n"/>
      <c r="O28" s="26" t="n"/>
      <c r="P28" s="33" t="n"/>
      <c r="Q28" s="26" t="n"/>
      <c r="R28" s="26" t="inlineStr">
        <is>
          <t>فعلا دست نگه دار</t>
        </is>
      </c>
    </row>
    <row r="29" ht="21.95" customHeight="1" s="38">
      <c r="A29" s="39" t="inlineStr">
        <is>
          <t xml:space="preserve">  📂 نوشیدنی ساز  ◀  تفال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1" t="n"/>
    </row>
    <row r="30" ht="21" customHeight="1" s="38">
      <c r="A30" s="23" t="inlineStr">
        <is>
          <t>کتری برقی تفال 2 لیتر</t>
        </is>
      </c>
      <c r="B30" s="24" t="n">
        <v>120000000</v>
      </c>
      <c r="C30" s="24">
        <f>IF(OR(ISBLANK(B30),B30=""),"",IF($L30="متغیر","⚠️ والد متغیر نباید قیمت داشته باشد",B30/10))</f>
        <v/>
      </c>
      <c r="D30" s="24" t="n">
        <v>120000000</v>
      </c>
      <c r="E30" s="44">
        <f>IF(OR(ISBLANK(B30),B30="",ISBLANK(D30),D30="",D30&lt;=0,$L30="متغیر"),"",(B30-D30)/D30)</f>
        <v/>
      </c>
      <c r="F30" s="24" t="n">
        <v>114000000</v>
      </c>
      <c r="G30" s="24">
        <f>IF(OR(ISBLANK(F30),F30=""),"",IF($L30="متغیر","",F30/10))</f>
        <v/>
      </c>
      <c r="H30" s="26" t="inlineStr">
        <is>
          <t>✓ موجود</t>
        </is>
      </c>
      <c r="I30" s="26" t="inlineStr">
        <is>
          <t>نوشیدنی ساز</t>
        </is>
      </c>
      <c r="J30" s="26" t="inlineStr">
        <is>
          <t>نوشیدنی ساز تفال</t>
        </is>
      </c>
      <c r="K30" s="26" t="inlineStr">
        <is>
          <t>تفال</t>
        </is>
      </c>
      <c r="L30" s="26" t="inlineStr">
        <is>
          <t>ساده</t>
        </is>
      </c>
      <c r="M30" s="26" t="n"/>
      <c r="N30" s="26" t="inlineStr">
        <is>
          <t>4115</t>
        </is>
      </c>
      <c r="O30" s="26" t="n"/>
      <c r="P30" s="33" t="inlineStr">
        <is>
          <t>https://hosseinykala.ir/product/tefal-2l-electric-kettle/</t>
        </is>
      </c>
      <c r="Q30" s="26" t="n"/>
      <c r="R30" s="26" t="inlineStr">
        <is>
          <t>ثبت‌شده در سایت</t>
        </is>
      </c>
    </row>
    <row r="31" ht="21" customHeight="1" s="38">
      <c r="A31" s="23" t="inlineStr">
        <is>
          <t>کتری برقی تفال 2.2 لیتر</t>
        </is>
      </c>
      <c r="B31" s="24" t="n"/>
      <c r="C31" s="24">
        <f>IF(OR(ISBLANK(B31),B31=""),"",IF($L31="متغیر","⚠️ والد متغیر نباید قیمت داشته باشد",B31/10))</f>
        <v/>
      </c>
      <c r="D31" s="24" t="n"/>
      <c r="E31" s="44">
        <f>IF(OR(ISBLANK(B31),B31="",ISBLANK(D31),D31="",D31&lt;=0,$L31="متغیر"),"",(B31-D31)/D31)</f>
        <v/>
      </c>
      <c r="F31" s="24" t="n"/>
      <c r="G31" s="24">
        <f>IF(OR(ISBLANK(F31),F31=""),"",IF($L31="متغیر","",F31/10))</f>
        <v/>
      </c>
      <c r="H31" s="26" t="inlineStr">
        <is>
          <t>✓ موجود</t>
        </is>
      </c>
      <c r="I31" s="26" t="inlineStr">
        <is>
          <t>نوشیدنی ساز</t>
        </is>
      </c>
      <c r="J31" s="26" t="inlineStr">
        <is>
          <t>نوشیدنی ساز تفال</t>
        </is>
      </c>
      <c r="K31" s="26" t="inlineStr">
        <is>
          <t>تفال</t>
        </is>
      </c>
      <c r="L31" s="26" t="inlineStr">
        <is>
          <t>ساده</t>
        </is>
      </c>
      <c r="M31" s="26" t="n"/>
      <c r="N31" s="26" t="n"/>
      <c r="O31" s="26" t="n"/>
      <c r="P31" s="33" t="n"/>
      <c r="Q31" s="26" t="n"/>
      <c r="R31" s="26" t="inlineStr">
        <is>
          <t>فعلا دست نگه دار</t>
        </is>
      </c>
    </row>
    <row r="32" ht="21.95" customHeight="1" s="38">
      <c r="A32" s="39" t="inlineStr">
        <is>
          <t xml:space="preserve">  📂 نوشیدنی ساز  ◀  جنرال</t>
        </is>
      </c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1" t="n"/>
    </row>
    <row r="33" ht="21" customHeight="1" s="38">
      <c r="A33" s="23" t="inlineStr">
        <is>
          <t>آبمیوه گیری چندکاره جنرال مدل 607 غذاساز</t>
        </is>
      </c>
      <c r="B33" s="24" t="n"/>
      <c r="C33" s="24">
        <f>IF(OR(ISBLANK(B33),B33=""),"",IF($L33="متغیر","⚠️ والد متغیر نباید قیمت داشته باشد",B33/10))</f>
        <v/>
      </c>
      <c r="D33" s="24" t="n"/>
      <c r="E33" s="44">
        <f>IF(OR(ISBLANK(B33),B33="",ISBLANK(D33),D33="",D33&lt;=0,$L33="متغیر"),"",(B33-D33)/D33)</f>
        <v/>
      </c>
      <c r="F33" s="24" t="n"/>
      <c r="G33" s="24">
        <f>IF(OR(ISBLANK(F33),F33=""),"",IF($L33="متغیر","",F33/10))</f>
        <v/>
      </c>
      <c r="H33" s="26" t="inlineStr">
        <is>
          <t>✗ ناموجود</t>
        </is>
      </c>
      <c r="I33" s="26" t="inlineStr">
        <is>
          <t>نوشیدنی ساز</t>
        </is>
      </c>
      <c r="J33" s="26" t="inlineStr">
        <is>
          <t>نوشیدنی ساز جنرال</t>
        </is>
      </c>
      <c r="K33" s="26" t="inlineStr">
        <is>
          <t>جنرال</t>
        </is>
      </c>
      <c r="L33" s="26" t="inlineStr">
        <is>
          <t>ساده</t>
        </is>
      </c>
      <c r="M33" s="26" t="n"/>
      <c r="N33" s="26" t="inlineStr">
        <is>
          <t>4119</t>
        </is>
      </c>
      <c r="O33" s="26" t="n"/>
      <c r="P33" s="33" t="inlineStr">
        <is>
          <t>https://hosseinykala.ir/product/general-607-multi-function-juicer-food-processor/</t>
        </is>
      </c>
      <c r="Q33" s="26" t="n"/>
      <c r="R33" s="26" t="inlineStr">
        <is>
          <t>ثبت‌شده در سایت</t>
        </is>
      </c>
    </row>
    <row r="34" ht="21.95" customHeight="1" s="38">
      <c r="A34" s="39" t="inlineStr">
        <is>
          <t xml:space="preserve">  📂 نوشیدنی ساز  ◀  رانکو</t>
        </is>
      </c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1" t="n"/>
    </row>
    <row r="35" ht="21" customHeight="1" s="38">
      <c r="A35" s="23" t="inlineStr">
        <is>
          <t>اسپرسوساز حرفه ای رانکو</t>
        </is>
      </c>
      <c r="B35" s="24" t="n"/>
      <c r="C35" s="24">
        <f>IF(OR(ISBLANK(B35),B35=""),"",IF($L35="متغیر","⚠️ والد متغیر نباید قیمت داشته باشد",B35/10))</f>
        <v/>
      </c>
      <c r="D35" s="24" t="n"/>
      <c r="E35" s="44">
        <f>IF(OR(ISBLANK(B35),B35="",ISBLANK(D35),D35="",D35&lt;=0,$L35="متغیر"),"",(B35-D35)/D35)</f>
        <v/>
      </c>
      <c r="F35" s="24" t="n"/>
      <c r="G35" s="24">
        <f>IF(OR(ISBLANK(F35),F35=""),"",IF($L35="متغیر","",F35/10))</f>
        <v/>
      </c>
      <c r="H35" s="26" t="inlineStr">
        <is>
          <t>✗ ناموجود</t>
        </is>
      </c>
      <c r="I35" s="26" t="inlineStr">
        <is>
          <t>نوشیدنی ساز</t>
        </is>
      </c>
      <c r="J35" s="26" t="inlineStr">
        <is>
          <t>نوشیدنی ساز رانکو</t>
        </is>
      </c>
      <c r="K35" s="26" t="inlineStr">
        <is>
          <t>رانکو</t>
        </is>
      </c>
      <c r="L35" s="26" t="inlineStr">
        <is>
          <t>ساده</t>
        </is>
      </c>
      <c r="M35" s="26" t="n"/>
      <c r="N35" s="26" t="inlineStr">
        <is>
          <t>4121</t>
        </is>
      </c>
      <c r="O35" s="26" t="n"/>
      <c r="P35" s="33" t="inlineStr">
        <is>
          <t>https://hosseinykala.ir/product/runko-professional-espresso-maker/</t>
        </is>
      </c>
      <c r="Q35" s="26" t="n"/>
      <c r="R35" s="26" t="inlineStr">
        <is>
          <t>ثبت‌شده در سایت</t>
        </is>
      </c>
    </row>
    <row r="36" ht="21.95" customHeight="1" s="38">
      <c r="A36" s="39" t="inlineStr">
        <is>
          <t xml:space="preserve">  📂 نوشیدنی ساز  ◀  زامروتی</t>
        </is>
      </c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1" t="n"/>
    </row>
    <row r="37" ht="21" customHeight="1" s="38">
      <c r="A37" s="23" t="inlineStr">
        <is>
          <t>کتری برقی تک زامروتی کرم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نوشیدنی ساز</t>
        </is>
      </c>
      <c r="J37" s="26" t="inlineStr">
        <is>
          <t>نوشیدنی ساز زامروتی</t>
        </is>
      </c>
      <c r="K37" s="26" t="inlineStr">
        <is>
          <t>زامروتی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" customHeight="1" s="38">
      <c r="A38" s="23" t="inlineStr">
        <is>
          <t>چای ساز زامروتی</t>
        </is>
      </c>
      <c r="B38" s="24" t="n"/>
      <c r="C38" s="24">
        <f>IF(OR(ISBLANK(B38),B38=""),"",IF($L38="متغیر","⚠️ والد متغیر نباید قیمت داشته باشد",B38/10))</f>
        <v/>
      </c>
      <c r="D38" s="24" t="n"/>
      <c r="E38" s="44">
        <f>IF(OR(ISBLANK(B38),B38="",ISBLANK(D38),D38="",D38&lt;=0,$L38="متغیر"),"",(B38-D38)/D38)</f>
        <v/>
      </c>
      <c r="F38" s="24" t="n"/>
      <c r="G38" s="24">
        <f>IF(OR(ISBLANK(F38),F38=""),"",IF($L38="متغیر","",F38/10))</f>
        <v/>
      </c>
      <c r="H38" s="26" t="inlineStr">
        <is>
          <t>✗ ناموجود</t>
        </is>
      </c>
      <c r="I38" s="26" t="inlineStr">
        <is>
          <t>نوشیدنی ساز</t>
        </is>
      </c>
      <c r="J38" s="26" t="inlineStr">
        <is>
          <t>نوشیدنی ساز زامروتی</t>
        </is>
      </c>
      <c r="K38" s="26" t="inlineStr">
        <is>
          <t>زامروتی</t>
        </is>
      </c>
      <c r="L38" s="26" t="inlineStr">
        <is>
          <t>ساده</t>
        </is>
      </c>
      <c r="M38" s="26" t="n"/>
      <c r="N38" s="26" t="n"/>
      <c r="O38" s="26" t="n"/>
      <c r="P38" s="33" t="n"/>
      <c r="Q38" s="26" t="n"/>
      <c r="R38" s="26" t="inlineStr">
        <is>
          <t>فعلا دست نگه دار</t>
        </is>
      </c>
    </row>
    <row r="39" ht="21" customHeight="1" s="38">
      <c r="A39" s="23" t="inlineStr">
        <is>
          <t>مخلوط کن زامروتی کرم</t>
        </is>
      </c>
      <c r="B39" s="24" t="n"/>
      <c r="C39" s="24">
        <f>IF(OR(ISBLANK(B39),B39=""),"",IF($L39="متغیر","⚠️ والد متغیر نباید قیمت داشته باشد",B39/10))</f>
        <v/>
      </c>
      <c r="D39" s="24" t="n"/>
      <c r="E39" s="44">
        <f>IF(OR(ISBLANK(B39),B39="",ISBLANK(D39),D39="",D39&lt;=0,$L39="متغیر"),"",(B39-D39)/D39)</f>
        <v/>
      </c>
      <c r="F39" s="24" t="n"/>
      <c r="G39" s="24">
        <f>IF(OR(ISBLANK(F39),F39=""),"",IF($L39="متغیر","",F39/10))</f>
        <v/>
      </c>
      <c r="H39" s="26" t="inlineStr">
        <is>
          <t>✗ ناموجود</t>
        </is>
      </c>
      <c r="I39" s="26" t="inlineStr">
        <is>
          <t>نوشیدنی ساز</t>
        </is>
      </c>
      <c r="J39" s="26" t="inlineStr">
        <is>
          <t>نوشیدنی ساز زامروتی</t>
        </is>
      </c>
      <c r="K39" s="26" t="inlineStr">
        <is>
          <t>زامروتی</t>
        </is>
      </c>
      <c r="L39" s="26" t="inlineStr">
        <is>
          <t>ساده</t>
        </is>
      </c>
      <c r="M39" s="26" t="n"/>
      <c r="N39" s="26" t="n"/>
      <c r="O39" s="26" t="n"/>
      <c r="P39" s="33" t="n"/>
      <c r="Q39" s="26" t="n"/>
      <c r="R39" s="26" t="inlineStr">
        <is>
          <t>فعلا دست نگه دار</t>
        </is>
      </c>
    </row>
    <row r="40" ht="21" customHeight="1" s="38">
      <c r="A40" s="23" t="inlineStr">
        <is>
          <t>کتری برقی رترو ۱.۷ لیتری زامروتی مدل عقربه‌ای کرم</t>
        </is>
      </c>
      <c r="B40" s="24" t="n">
        <v>220000000</v>
      </c>
      <c r="C40" s="24">
        <f>IF(OR(ISBLANK(B40),B40=""),"",IF($L40="متغیر","⚠️ والد متغیر نباید قیمت داشته باشد",B40/10))</f>
        <v/>
      </c>
      <c r="D40" s="24" t="n">
        <v>220000000</v>
      </c>
      <c r="E40" s="44">
        <f>IF(OR(ISBLANK(B40),B40="",ISBLANK(D40),D40="",D40&lt;=0,$L40="متغیر"),"",(B40-D40)/D40)</f>
        <v/>
      </c>
      <c r="F40" s="24" t="n">
        <v>209000000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نوشیدنی ساز</t>
        </is>
      </c>
      <c r="J40" s="26" t="inlineStr">
        <is>
          <t>نوشیدنی ساز زامروتی</t>
        </is>
      </c>
      <c r="K40" s="26" t="inlineStr">
        <is>
          <t>زامروتی</t>
        </is>
      </c>
      <c r="L40" s="26" t="inlineStr">
        <is>
          <t>ساده</t>
        </is>
      </c>
      <c r="M40" s="26" t="n"/>
      <c r="N40" s="26" t="inlineStr">
        <is>
          <t>3660</t>
        </is>
      </c>
      <c r="O40" s="26" t="n"/>
      <c r="P40" s="33" t="inlineStr">
        <is>
          <t>https://hosseinykala.ir/?p=3660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سماور برقی ۳ لیتری دیجیتال پیرکس زامروتی</t>
        </is>
      </c>
      <c r="B41" s="24" t="n">
        <v>325000000</v>
      </c>
      <c r="C41" s="24">
        <f>IF(OR(ISBLANK(B41),B41=""),"",IF($L41="متغیر","⚠️ والد متغیر نباید قیمت داشته باشد",B41/10))</f>
        <v/>
      </c>
      <c r="D41" s="24" t="n">
        <v>325000000</v>
      </c>
      <c r="E41" s="44">
        <f>IF(OR(ISBLANK(B41),B41="",ISBLANK(D41),D41="",D41&lt;=0,$L41="متغیر"),"",(B41-D41)/D41)</f>
        <v/>
      </c>
      <c r="F41" s="24" t="n">
        <v>308750000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نوشیدنی ساز</t>
        </is>
      </c>
      <c r="J41" s="26" t="inlineStr">
        <is>
          <t>نوشیدنی ساز زامروتی</t>
        </is>
      </c>
      <c r="K41" s="26" t="inlineStr">
        <is>
          <t>زامروتی</t>
        </is>
      </c>
      <c r="L41" s="26" t="inlineStr">
        <is>
          <t>ساده</t>
        </is>
      </c>
      <c r="M41" s="26" t="n"/>
      <c r="N41" s="26" t="inlineStr">
        <is>
          <t>3657</t>
        </is>
      </c>
      <c r="O41" s="26" t="n"/>
      <c r="P41" s="33" t="inlineStr">
        <is>
          <t>https://hosseinykala.ir/?p=3657</t>
        </is>
      </c>
      <c r="Q41" s="26" t="n"/>
      <c r="R41" s="26" t="inlineStr">
        <is>
          <t>ثبت‌شده در سایت</t>
        </is>
      </c>
    </row>
    <row r="42" ht="21" customHeight="1" s="38">
      <c r="A42" s="23" t="inlineStr">
        <is>
          <t>مخلوط‌کن رترو ۱.۵ لیتری ۶۰۰ وات زامروتی مدل 10038</t>
        </is>
      </c>
      <c r="B42" s="24" t="n">
        <v>273000000</v>
      </c>
      <c r="C42" s="24">
        <f>IF(OR(ISBLANK(B42),B42=""),"",IF($L42="متغیر","⚠️ والد متغیر نباید قیمت داشته باشد",B42/10))</f>
        <v/>
      </c>
      <c r="D42" s="24" t="n">
        <v>273000000</v>
      </c>
      <c r="E42" s="44">
        <f>IF(OR(ISBLANK(B42),B42="",ISBLANK(D42),D42="",D42&lt;=0,$L42="متغیر"),"",(B42-D42)/D42)</f>
        <v/>
      </c>
      <c r="F42" s="24" t="n">
        <v>259350000</v>
      </c>
      <c r="G42" s="24">
        <f>IF(OR(ISBLANK(F42),F42=""),"",IF($L42="متغیر","",F42/10))</f>
        <v/>
      </c>
      <c r="H42" s="26" t="inlineStr">
        <is>
          <t>✓ موجود</t>
        </is>
      </c>
      <c r="I42" s="26" t="inlineStr">
        <is>
          <t>نوشیدنی ساز</t>
        </is>
      </c>
      <c r="J42" s="26" t="inlineStr">
        <is>
          <t>نوشیدنی ساز زامروتی</t>
        </is>
      </c>
      <c r="K42" s="26" t="inlineStr">
        <is>
          <t>زامروتی</t>
        </is>
      </c>
      <c r="L42" s="26" t="inlineStr">
        <is>
          <t>ساده</t>
        </is>
      </c>
      <c r="M42" s="26" t="n"/>
      <c r="N42" s="26" t="inlineStr">
        <is>
          <t>3655</t>
        </is>
      </c>
      <c r="O42" s="26" t="n"/>
      <c r="P42" s="33" t="inlineStr">
        <is>
          <t>https://hosseinykala.ir/?p=3655</t>
        </is>
      </c>
      <c r="Q42" s="26" t="n"/>
      <c r="R42" s="26" t="inlineStr">
        <is>
          <t>ثبت‌شده در سایت</t>
        </is>
      </c>
    </row>
    <row r="43" ht="21.95" customHeight="1" s="38">
      <c r="A43" s="39" t="inlineStr">
        <is>
          <t xml:space="preserve">  📂 نوشیدنی ساز  ◀  سانی</t>
        </is>
      </c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1" t="n"/>
    </row>
    <row r="44" ht="21" customHeight="1" s="38">
      <c r="A44" s="23" t="inlineStr">
        <is>
          <t>کتری برقی سانی 1.5 لیتر</t>
        </is>
      </c>
      <c r="B44" s="24" t="n"/>
      <c r="C44" s="24">
        <f>IF(OR(ISBLANK(B44),B44=""),"",IF($L44="متغیر","⚠️ والد متغیر نباید قیمت داشته باشد",B44/10))</f>
        <v/>
      </c>
      <c r="D44" s="24" t="n"/>
      <c r="E44" s="44">
        <f>IF(OR(ISBLANK(B44),B44="",ISBLANK(D44),D44="",D44&lt;=0,$L44="متغیر"),"",(B44-D44)/D44)</f>
        <v/>
      </c>
      <c r="F44" s="24" t="n"/>
      <c r="G44" s="24">
        <f>IF(OR(ISBLANK(F44),F44=""),"",IF($L44="متغیر","",F44/10))</f>
        <v/>
      </c>
      <c r="H44" s="26" t="inlineStr">
        <is>
          <t>✗ ناموجود</t>
        </is>
      </c>
      <c r="I44" s="26" t="inlineStr">
        <is>
          <t>نوشیدنی ساز</t>
        </is>
      </c>
      <c r="J44" s="26" t="inlineStr">
        <is>
          <t>نوشیدنی ساز سانی</t>
        </is>
      </c>
      <c r="K44" s="26" t="inlineStr">
        <is>
          <t>سانی</t>
        </is>
      </c>
      <c r="L44" s="26" t="inlineStr">
        <is>
          <t>ساده</t>
        </is>
      </c>
      <c r="M44" s="26" t="n"/>
      <c r="N44" s="26" t="n"/>
      <c r="O44" s="26" t="n"/>
      <c r="P44" s="33" t="n"/>
      <c r="Q44" s="26" t="n"/>
      <c r="R44" s="26" t="inlineStr">
        <is>
          <t>فعلا دست نگه دار</t>
        </is>
      </c>
    </row>
    <row r="45" ht="21.95" customHeight="1" s="38">
      <c r="A45" s="39" t="inlineStr">
        <is>
          <t xml:space="preserve">  📂 نوشیدنی ساز  ◀  ساپر</t>
        </is>
      </c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1" t="n"/>
    </row>
    <row r="46" ht="21" customHeight="1" s="38">
      <c r="A46" s="15" t="inlineStr">
        <is>
          <t>کتری برقی ساپر مدل 1031</t>
        </is>
      </c>
      <c r="B46" s="16" t="n"/>
      <c r="C46" s="16">
        <f>IF(OR(B46="",B46=0),"",B46/10)</f>
        <v/>
      </c>
      <c r="D46" s="16" t="n"/>
      <c r="E46" s="42">
        <f>IF(ISNUMBER(D46),(B46-D46)/D46,"")</f>
        <v/>
      </c>
      <c r="F46" s="16" t="n"/>
      <c r="G46" s="16">
        <f>IF(OR(F46="",F46=0),"",F46/10)</f>
        <v/>
      </c>
      <c r="H46" s="18" t="inlineStr">
        <is>
          <t>✓ موجود</t>
        </is>
      </c>
      <c r="I46" s="18" t="inlineStr">
        <is>
          <t>نوشیدنی ساز</t>
        </is>
      </c>
      <c r="J46" s="18" t="inlineStr">
        <is>
          <t>نوشیدنی ساز ساپر</t>
        </is>
      </c>
      <c r="K46" s="18" t="inlineStr">
        <is>
          <t>ساپر</t>
        </is>
      </c>
      <c r="L46" s="18" t="inlineStr">
        <is>
          <t>متغیر</t>
        </is>
      </c>
      <c r="M46" s="18" t="inlineStr">
        <is>
          <t>شامل 2 تنوع</t>
        </is>
      </c>
      <c r="N46" s="18" t="inlineStr">
        <is>
          <t>3990</t>
        </is>
      </c>
      <c r="O46" s="18" t="n"/>
      <c r="P46" s="31" t="inlineStr">
        <is>
          <t>https://hosseinykala.ir/product/saper-1031-electric-kettle/</t>
        </is>
      </c>
      <c r="Q46" s="18" t="n"/>
      <c r="R46" s="18" t="inlineStr">
        <is>
          <t>ثبت‌شده در سایت</t>
        </is>
      </c>
    </row>
    <row r="47" ht="18.95" customHeight="1" s="38">
      <c r="A47" s="19" t="inlineStr">
        <is>
          <t>↳ رنگ: سبز</t>
        </is>
      </c>
      <c r="B47" s="20" t="n">
        <v>98000000</v>
      </c>
      <c r="C47" s="20">
        <f>IF(OR(ISBLANK(B47),B47=""),"",IF($L47="متغیر","⚠️ والد متغیر نباید قیمت داشته باشد",B47/10))</f>
        <v/>
      </c>
      <c r="D47" s="20" t="n">
        <v>98000000</v>
      </c>
      <c r="E47" s="43">
        <f>IF(OR(ISBLANK(B47),B47="",ISBLANK(D47),D47="",D47&lt;=0,$L47="متغیر"),"",(B47-D47)/D47)</f>
        <v/>
      </c>
      <c r="F47" s="20" t="n">
        <v>93100000</v>
      </c>
      <c r="G47" s="20">
        <f>IF(OR(ISBLANK(F47),F47=""),"",IF($L47="متغیر","",F47/10))</f>
        <v/>
      </c>
      <c r="H47" s="22" t="inlineStr">
        <is>
          <t>✓ موجود</t>
        </is>
      </c>
      <c r="I47" s="22" t="inlineStr">
        <is>
          <t>نوشیدنی ساز</t>
        </is>
      </c>
      <c r="J47" s="22" t="inlineStr">
        <is>
          <t>نوشیدنی ساز ساپر</t>
        </is>
      </c>
      <c r="K47" s="22" t="inlineStr">
        <is>
          <t>ساپر</t>
        </is>
      </c>
      <c r="L47" s="22" t="inlineStr">
        <is>
          <t>تنوع</t>
        </is>
      </c>
      <c r="M47" s="22" t="inlineStr">
        <is>
          <t>رنگ: سبز</t>
        </is>
      </c>
      <c r="N47" s="22" t="inlineStr">
        <is>
          <t>3990</t>
        </is>
      </c>
      <c r="O47" s="22" t="n">
        <v>3991</v>
      </c>
      <c r="P47" s="32" t="inlineStr">
        <is>
          <t>https://hosseinykala.ir/product/saper-1031-electric-kettle/</t>
        </is>
      </c>
      <c r="Q47" s="22" t="n"/>
      <c r="R47" s="22" t="inlineStr">
        <is>
          <t>ثبت‌شده در سایت</t>
        </is>
      </c>
    </row>
    <row r="48" ht="18.95" customHeight="1" s="38">
      <c r="A48" s="19" t="inlineStr">
        <is>
          <t>↳ رنگ: کرم</t>
        </is>
      </c>
      <c r="B48" s="20" t="n">
        <v>98000000</v>
      </c>
      <c r="C48" s="20">
        <f>IF(OR(ISBLANK(B48),B48=""),"",IF($L48="متغیر","⚠️ والد متغیر نباید قیمت داشته باشد",B48/10))</f>
        <v/>
      </c>
      <c r="D48" s="20" t="n">
        <v>98000000</v>
      </c>
      <c r="E48" s="43">
        <f>IF(OR(ISBLANK(B48),B48="",ISBLANK(D48),D48="",D48&lt;=0,$L48="متغیر"),"",(B48-D48)/D48)</f>
        <v/>
      </c>
      <c r="F48" s="20" t="n">
        <v>93100000</v>
      </c>
      <c r="G48" s="20">
        <f>IF(OR(ISBLANK(F48),F48=""),"",IF($L48="متغیر","",F48/10))</f>
        <v/>
      </c>
      <c r="H48" s="22" t="inlineStr">
        <is>
          <t>✓ موجود</t>
        </is>
      </c>
      <c r="I48" s="22" t="inlineStr">
        <is>
          <t>نوشیدنی ساز</t>
        </is>
      </c>
      <c r="J48" s="22" t="inlineStr">
        <is>
          <t>نوشیدنی ساز ساپر</t>
        </is>
      </c>
      <c r="K48" s="22" t="inlineStr">
        <is>
          <t>ساپر</t>
        </is>
      </c>
      <c r="L48" s="22" t="inlineStr">
        <is>
          <t>تنوع</t>
        </is>
      </c>
      <c r="M48" s="22" t="inlineStr">
        <is>
          <t>رنگ: کرم</t>
        </is>
      </c>
      <c r="N48" s="22" t="inlineStr">
        <is>
          <t>3990</t>
        </is>
      </c>
      <c r="O48" s="22" t="n">
        <v>3992</v>
      </c>
      <c r="P48" s="32" t="inlineStr">
        <is>
          <t>https://hosseinykala.ir/product/saper-1031-electric-kettle/</t>
        </is>
      </c>
      <c r="Q48" s="22" t="n"/>
      <c r="R48" s="22" t="inlineStr">
        <is>
          <t>ثبت‌شده در سایت</t>
        </is>
      </c>
    </row>
    <row r="49" ht="21" customHeight="1" s="38">
      <c r="A49" s="23" t="inlineStr">
        <is>
          <t>کتری برقی ساپر استیل مدل 1011</t>
        </is>
      </c>
      <c r="B49" s="24" t="n">
        <v>130000000</v>
      </c>
      <c r="C49" s="24">
        <f>IF(OR(ISBLANK(B49),B49=""),"",IF($L49="متغیر","⚠️ والد متغیر نباید قیمت داشته باشد",B49/10))</f>
        <v/>
      </c>
      <c r="D49" s="24" t="n">
        <v>130000000</v>
      </c>
      <c r="E49" s="44">
        <f>IF(OR(ISBLANK(B49),B49="",ISBLANK(D49),D49="",D49&lt;=0,$L49="متغیر"),"",(B49-D49)/D49)</f>
        <v/>
      </c>
      <c r="F49" s="24" t="n">
        <v>123500000</v>
      </c>
      <c r="G49" s="24">
        <f>IF(OR(ISBLANK(F49),F49=""),"",IF($L49="متغیر","",F49/10))</f>
        <v/>
      </c>
      <c r="H49" s="26" t="inlineStr">
        <is>
          <t>✓ موجود</t>
        </is>
      </c>
      <c r="I49" s="26" t="inlineStr">
        <is>
          <t>نوشیدنی ساز</t>
        </is>
      </c>
      <c r="J49" s="26" t="inlineStr">
        <is>
          <t>نوشیدنی ساز ساپر</t>
        </is>
      </c>
      <c r="K49" s="26" t="inlineStr">
        <is>
          <t>ساپر</t>
        </is>
      </c>
      <c r="L49" s="26" t="inlineStr">
        <is>
          <t>ساده</t>
        </is>
      </c>
      <c r="M49" s="26" t="n"/>
      <c r="N49" s="26" t="inlineStr">
        <is>
          <t>4123</t>
        </is>
      </c>
      <c r="O49" s="26" t="n"/>
      <c r="P49" s="33" t="inlineStr">
        <is>
          <t>https://hosseinykala.ir/product/saper-1011-steel-electric-kettle/</t>
        </is>
      </c>
      <c r="Q49" s="26" t="n"/>
      <c r="R49" s="26" t="inlineStr">
        <is>
          <t>ثبت‌شده در سایت</t>
        </is>
      </c>
    </row>
    <row r="50" ht="21.95" customHeight="1" s="38">
      <c r="A50" s="39" t="inlineStr">
        <is>
          <t xml:space="preserve">  📂 نوشیدنی ساز  ◀  سیماران</t>
        </is>
      </c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1" t="n"/>
    </row>
    <row r="51" ht="21" customHeight="1" s="38">
      <c r="A51" s="23" t="inlineStr">
        <is>
          <t>کتری برقی سیماران استیل مدل 750</t>
        </is>
      </c>
      <c r="B51" s="24" t="n">
        <v>89000000</v>
      </c>
      <c r="C51" s="24">
        <f>IF(OR(ISBLANK(B51),B51=""),"",IF($L51="متغیر","⚠️ والد متغیر نباید قیمت داشته باشد",B51/10))</f>
        <v/>
      </c>
      <c r="D51" s="24" t="n">
        <v>89000000</v>
      </c>
      <c r="E51" s="44">
        <f>IF(OR(ISBLANK(B51),B51="",ISBLANK(D51),D51="",D51&lt;=0,$L51="متغیر"),"",(B51-D51)/D51)</f>
        <v/>
      </c>
      <c r="F51" s="24" t="n">
        <v>84550000</v>
      </c>
      <c r="G51" s="24">
        <f>IF(OR(ISBLANK(F51),F51=""),"",IF($L51="متغیر","",F51/10))</f>
        <v/>
      </c>
      <c r="H51" s="26" t="inlineStr">
        <is>
          <t>✓ موجود</t>
        </is>
      </c>
      <c r="I51" s="26" t="inlineStr">
        <is>
          <t>نوشیدنی ساز</t>
        </is>
      </c>
      <c r="J51" s="26" t="inlineStr">
        <is>
          <t>نوشیدنی ساز سیماران</t>
        </is>
      </c>
      <c r="K51" s="26" t="inlineStr">
        <is>
          <t>سیماران</t>
        </is>
      </c>
      <c r="L51" s="26" t="inlineStr">
        <is>
          <t>ساده</t>
        </is>
      </c>
      <c r="M51" s="26" t="n"/>
      <c r="N51" s="26" t="inlineStr">
        <is>
          <t>4125</t>
        </is>
      </c>
      <c r="O51" s="26" t="n"/>
      <c r="P51" s="33" t="inlineStr">
        <is>
          <t>https://hosseinykala.ir/product/simaran-750-steel-electric-kettle/</t>
        </is>
      </c>
      <c r="Q51" s="26" t="n"/>
      <c r="R51" s="26" t="inlineStr">
        <is>
          <t>ثبت‌شده در سایت</t>
        </is>
      </c>
    </row>
    <row r="52" ht="21.95" customHeight="1" s="38">
      <c r="A52" s="39" t="inlineStr">
        <is>
          <t xml:space="preserve">  📂 نوشیدنی ساز  ◀  ونتو</t>
        </is>
      </c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1" t="n"/>
    </row>
    <row r="53" ht="21" customHeight="1" s="38">
      <c r="A53" s="23" t="inlineStr">
        <is>
          <t>آسیاب برقی ونتو</t>
        </is>
      </c>
      <c r="B53" s="24" t="n"/>
      <c r="C53" s="24">
        <f>IF(OR(ISBLANK(B53),B53=""),"",IF($L53="متغیر","⚠️ والد متغیر نباید قیمت داشته باشد",B53/10))</f>
        <v/>
      </c>
      <c r="D53" s="24" t="n"/>
      <c r="E53" s="44">
        <f>IF(OR(ISBLANK(B53),B53="",ISBLANK(D53),D53="",D53&lt;=0,$L53="متغیر"),"",(B53-D53)/D53)</f>
        <v/>
      </c>
      <c r="F53" s="24" t="n"/>
      <c r="G53" s="24">
        <f>IF(OR(ISBLANK(F53),F53=""),"",IF($L53="متغیر","",F53/10))</f>
        <v/>
      </c>
      <c r="H53" s="26" t="inlineStr">
        <is>
          <t>✗ ناموجود</t>
        </is>
      </c>
      <c r="I53" s="26" t="inlineStr">
        <is>
          <t>نوشیدنی ساز</t>
        </is>
      </c>
      <c r="J53" s="26" t="inlineStr">
        <is>
          <t>نوشیدنی ساز ونتو</t>
        </is>
      </c>
      <c r="K53" s="26" t="inlineStr">
        <is>
          <t>ونتو</t>
        </is>
      </c>
      <c r="L53" s="26" t="inlineStr">
        <is>
          <t>ساده</t>
        </is>
      </c>
      <c r="M53" s="26" t="n"/>
      <c r="N53" s="26" t="inlineStr">
        <is>
          <t>4127</t>
        </is>
      </c>
      <c r="O53" s="26" t="n"/>
      <c r="P53" s="33" t="inlineStr">
        <is>
          <t>https://hosseinykala.ir/product/vento-electric-grinder/</t>
        </is>
      </c>
      <c r="Q53" s="26" t="n"/>
      <c r="R53" s="26" t="inlineStr">
        <is>
          <t>ثبت‌شده در سایت</t>
        </is>
      </c>
    </row>
    <row r="54" ht="21.95" customHeight="1" s="38">
      <c r="A54" s="39" t="inlineStr">
        <is>
          <t xml:space="preserve">  📂 نوشیدنی ساز  ◀  وولگا</t>
        </is>
      </c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1" t="n"/>
    </row>
    <row r="55" ht="21" customHeight="1" s="38">
      <c r="A55" s="23" t="inlineStr">
        <is>
          <t>کتری برقی وولگا</t>
        </is>
      </c>
      <c r="B55" s="24" t="n">
        <v>130000000</v>
      </c>
      <c r="C55" s="24">
        <f>IF(OR(ISBLANK(B55),B55=""),"",IF($L55="متغیر","⚠️ والد متغیر نباید قیمت داشته باشد",B55/10))</f>
        <v/>
      </c>
      <c r="D55" s="24" t="n">
        <v>130000000</v>
      </c>
      <c r="E55" s="44">
        <f>IF(OR(ISBLANK(B55),B55="",ISBLANK(D55),D55="",D55&lt;=0,$L55="متغیر"),"",(B55-D55)/D55)</f>
        <v/>
      </c>
      <c r="F55" s="24" t="n">
        <v>123500000</v>
      </c>
      <c r="G55" s="24">
        <f>IF(OR(ISBLANK(F55),F55=""),"",IF($L55="متغیر","",F55/10))</f>
        <v/>
      </c>
      <c r="H55" s="26" t="inlineStr">
        <is>
          <t>✓ موجود</t>
        </is>
      </c>
      <c r="I55" s="26" t="inlineStr">
        <is>
          <t>نوشیدنی ساز</t>
        </is>
      </c>
      <c r="J55" s="26" t="inlineStr">
        <is>
          <t>نوشیدنی ساز وولگا</t>
        </is>
      </c>
      <c r="K55" s="26" t="inlineStr">
        <is>
          <t>وولگا</t>
        </is>
      </c>
      <c r="L55" s="26" t="inlineStr">
        <is>
          <t>ساده</t>
        </is>
      </c>
      <c r="M55" s="26" t="n"/>
      <c r="N55" s="26" t="inlineStr">
        <is>
          <t>4129</t>
        </is>
      </c>
      <c r="O55" s="26" t="n"/>
      <c r="P55" s="33" t="inlineStr">
        <is>
          <t>https://hosseinykala.ir/product/volga-electric-kettle/</t>
        </is>
      </c>
      <c r="Q55" s="26" t="n"/>
      <c r="R55" s="26" t="inlineStr">
        <is>
          <t>ثبت‌شده در سایت</t>
        </is>
      </c>
    </row>
    <row r="56" ht="21.95" customHeight="1" s="38">
      <c r="A56" s="39" t="inlineStr">
        <is>
          <t xml:space="preserve">  📂 نوشیدنی ساز  ◀  ویلز</t>
        </is>
      </c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1" t="n"/>
    </row>
    <row r="57" ht="21" customHeight="1" s="38">
      <c r="A57" s="23" t="inlineStr">
        <is>
          <t>چای ساز ویلز مدل 2015</t>
        </is>
      </c>
      <c r="B57" s="24" t="n">
        <v>245000000</v>
      </c>
      <c r="C57" s="24">
        <f>IF(OR(ISBLANK(B57),B57=""),"",IF($L57="متغیر","⚠️ والد متغیر نباید قیمت داشته باشد",B57/10))</f>
        <v/>
      </c>
      <c r="D57" s="24" t="n">
        <v>245000000</v>
      </c>
      <c r="E57" s="44">
        <f>IF(OR(ISBLANK(B57),B57="",ISBLANK(D57),D57="",D57&lt;=0,$L57="متغیر"),"",(B57-D57)/D57)</f>
        <v/>
      </c>
      <c r="F57" s="24" t="n">
        <v>232750000</v>
      </c>
      <c r="G57" s="24">
        <f>IF(OR(ISBLANK(F57),F57=""),"",IF($L57="متغیر","",F57/10))</f>
        <v/>
      </c>
      <c r="H57" s="26" t="inlineStr">
        <is>
          <t>✓ موجود</t>
        </is>
      </c>
      <c r="I57" s="26" t="inlineStr">
        <is>
          <t>نوشیدنی ساز</t>
        </is>
      </c>
      <c r="J57" s="26" t="inlineStr">
        <is>
          <t>نوشیدنی ساز ویلز</t>
        </is>
      </c>
      <c r="K57" s="26" t="inlineStr">
        <is>
          <t>ویلز</t>
        </is>
      </c>
      <c r="L57" s="26" t="inlineStr">
        <is>
          <t>ساده</t>
        </is>
      </c>
      <c r="M57" s="26" t="n"/>
      <c r="N57" s="26" t="inlineStr">
        <is>
          <t>4169</t>
        </is>
      </c>
      <c r="O57" s="26" t="n"/>
      <c r="P57" s="33" t="inlineStr">
        <is>
          <t>https://hosseinykala.ir/product/willez-2015-tea-maker/</t>
        </is>
      </c>
      <c r="Q57" s="26" t="n"/>
      <c r="R57" s="26" t="inlineStr">
        <is>
          <t>ثبت‌شده در سایت</t>
        </is>
      </c>
    </row>
    <row r="58" ht="21.95" customHeight="1" s="38">
      <c r="A58" s="39" t="inlineStr">
        <is>
          <t xml:space="preserve">  📂 نوشیدنی ساز  ◀  پروکس</t>
        </is>
      </c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1" t="n"/>
    </row>
    <row r="59" ht="21" customHeight="1" s="38">
      <c r="A59" s="23" t="inlineStr">
        <is>
          <t>کتری برقی پروکس</t>
        </is>
      </c>
      <c r="B59" s="24" t="n"/>
      <c r="C59" s="24">
        <f>IF(OR(ISBLANK(B59),B59=""),"",IF($L59="متغیر","⚠️ والد متغیر نباید قیمت داشته باشد",B59/10))</f>
        <v/>
      </c>
      <c r="D59" s="24" t="n"/>
      <c r="E59" s="44">
        <f>IF(OR(ISBLANK(B59),B59="",ISBLANK(D59),D59="",D59&lt;=0,$L59="متغیر"),"",(B59-D59)/D59)</f>
        <v/>
      </c>
      <c r="F59" s="24" t="n"/>
      <c r="G59" s="24">
        <f>IF(OR(ISBLANK(F59),F59=""),"",IF($L59="متغیر","",F59/10))</f>
        <v/>
      </c>
      <c r="H59" s="26" t="inlineStr">
        <is>
          <t>✗ ناموجود</t>
        </is>
      </c>
      <c r="I59" s="26" t="inlineStr">
        <is>
          <t>نوشیدنی ساز</t>
        </is>
      </c>
      <c r="J59" s="26" t="inlineStr">
        <is>
          <t>نوشیدنی ساز پروکس</t>
        </is>
      </c>
      <c r="K59" s="26" t="inlineStr">
        <is>
          <t>پروکس</t>
        </is>
      </c>
      <c r="L59" s="26" t="inlineStr">
        <is>
          <t>ساده</t>
        </is>
      </c>
      <c r="M59" s="26" t="n"/>
      <c r="N59" s="26" t="n"/>
      <c r="O59" s="26" t="n"/>
      <c r="P59" s="33" t="n"/>
      <c r="Q59" s="26" t="n"/>
      <c r="R59" s="26" t="inlineStr">
        <is>
          <t>فعلا دست نگه دار</t>
        </is>
      </c>
    </row>
    <row r="60" ht="21.95" customHeight="1" s="38">
      <c r="A60" s="39" t="inlineStr">
        <is>
          <t xml:space="preserve">  📂 نوشیدنی ساز  ◀  ژمبو</t>
        </is>
      </c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1" t="n"/>
    </row>
    <row r="61" ht="21" customHeight="1" s="38">
      <c r="A61" s="34" t="inlineStr">
        <is>
          <t>ست کتری و قوری روگازی ژمبو (زامروتی) مدل 2022</t>
        </is>
      </c>
      <c r="B61" s="24" t="n"/>
      <c r="C61" s="24">
        <f>IF(OR(B61="",B61=0),"",B61/10)</f>
        <v/>
      </c>
      <c r="D61" s="24" t="n"/>
      <c r="E61" s="44">
        <f>IF(ISNUMBER(D61),(B61-D61)/D61,"")</f>
        <v/>
      </c>
      <c r="F61" s="24" t="n"/>
      <c r="G61" s="24">
        <f>IF(OR(F61="",F61=0),"",F61/10)</f>
        <v/>
      </c>
      <c r="H61" s="26" t="inlineStr">
        <is>
          <t>✓ موجود</t>
        </is>
      </c>
      <c r="I61" s="26" t="inlineStr">
        <is>
          <t>نوشیدنی ساز</t>
        </is>
      </c>
      <c r="J61" s="26" t="inlineStr">
        <is>
          <t>نوشیدنی ساز ژمبو</t>
        </is>
      </c>
      <c r="K61" s="26" t="inlineStr">
        <is>
          <t>ژمبو</t>
        </is>
      </c>
      <c r="L61" s="26" t="inlineStr">
        <is>
          <t>متغیر</t>
        </is>
      </c>
      <c r="M61" s="26" t="inlineStr">
        <is>
          <t>شامل 2 تنوع</t>
        </is>
      </c>
      <c r="N61" s="26" t="n"/>
      <c r="O61" s="26" t="n"/>
      <c r="P61" s="33" t="n"/>
      <c r="Q61" s="26" t="n"/>
      <c r="R61" s="26" t="inlineStr">
        <is>
          <t>فعلا دست نگه دار</t>
        </is>
      </c>
    </row>
    <row r="62" ht="18.95" customHeight="1" s="38">
      <c r="A62" s="35" t="inlineStr">
        <is>
          <t>↳ مشخصه: دسته استیل</t>
        </is>
      </c>
      <c r="B62" s="24" t="n"/>
      <c r="C62" s="24">
        <f>IF(OR(ISBLANK(B62),B62=""),"",IF($L62="متغیر","⚠️ والد متغیر نباید قیمت داشته باشد",B62/10))</f>
        <v/>
      </c>
      <c r="D62" s="24" t="n"/>
      <c r="E62" s="44">
        <f>IF(OR(ISBLANK(B62),B62="",ISBLANK(D62),D62="",D62&lt;=0,$L62="متغیر"),"",(B62-D62)/D62)</f>
        <v/>
      </c>
      <c r="F62" s="24" t="n"/>
      <c r="G62" s="24">
        <f>IF(OR(ISBLANK(F62),F62=""),"",IF($L62="متغیر","",F62/10))</f>
        <v/>
      </c>
      <c r="H62" s="36" t="inlineStr">
        <is>
          <t>✗ ناموجود</t>
        </is>
      </c>
      <c r="I62" s="36" t="inlineStr">
        <is>
          <t>نوشیدنی ساز</t>
        </is>
      </c>
      <c r="J62" s="36" t="inlineStr">
        <is>
          <t>نوشیدنی ساز ژمبو</t>
        </is>
      </c>
      <c r="K62" s="36" t="inlineStr">
        <is>
          <t>ژمبو</t>
        </is>
      </c>
      <c r="L62" s="36" t="inlineStr">
        <is>
          <t>تنوع</t>
        </is>
      </c>
      <c r="M62" s="36" t="inlineStr">
        <is>
          <t>مشخصه: دسته استیل</t>
        </is>
      </c>
      <c r="N62" s="36" t="n"/>
      <c r="O62" s="36" t="n"/>
      <c r="P62" s="33" t="n"/>
      <c r="Q62" s="36" t="n"/>
      <c r="R62" s="36" t="inlineStr">
        <is>
          <t>فعلا دست نگه دار</t>
        </is>
      </c>
    </row>
    <row r="63" ht="18.95" customHeight="1" s="38">
      <c r="A63" s="35" t="inlineStr">
        <is>
          <t>↳ مشخصه: دسته چوب</t>
        </is>
      </c>
      <c r="B63" s="24" t="n"/>
      <c r="C63" s="24">
        <f>IF(OR(ISBLANK(B63),B63=""),"",IF($L63="متغیر","⚠️ والد متغیر نباید قیمت داشته باشد",B63/10))</f>
        <v/>
      </c>
      <c r="D63" s="24" t="n"/>
      <c r="E63" s="44">
        <f>IF(OR(ISBLANK(B63),B63="",ISBLANK(D63),D63="",D63&lt;=0,$L63="متغیر"),"",(B63-D63)/D63)</f>
        <v/>
      </c>
      <c r="F63" s="24" t="n"/>
      <c r="G63" s="24">
        <f>IF(OR(ISBLANK(F63),F63=""),"",IF($L63="متغیر","",F63/10))</f>
        <v/>
      </c>
      <c r="H63" s="36" t="inlineStr">
        <is>
          <t>✗ ناموجود</t>
        </is>
      </c>
      <c r="I63" s="36" t="inlineStr">
        <is>
          <t>نوشیدنی ساز</t>
        </is>
      </c>
      <c r="J63" s="36" t="inlineStr">
        <is>
          <t>نوشیدنی ساز ژمبو</t>
        </is>
      </c>
      <c r="K63" s="36" t="inlineStr">
        <is>
          <t>ژمبو</t>
        </is>
      </c>
      <c r="L63" s="36" t="inlineStr">
        <is>
          <t>تنوع</t>
        </is>
      </c>
      <c r="M63" s="36" t="inlineStr">
        <is>
          <t>مشخصه: دسته چوب</t>
        </is>
      </c>
      <c r="N63" s="36" t="n"/>
      <c r="O63" s="36" t="n"/>
      <c r="P63" s="33" t="n"/>
      <c r="Q63" s="36" t="n"/>
      <c r="R63" s="36" t="inlineStr">
        <is>
          <t>فعلا دست نگه دار</t>
        </is>
      </c>
    </row>
    <row r="64" ht="21.95" customHeight="1" s="38">
      <c r="A64" s="39" t="inlineStr">
        <is>
          <t xml:space="preserve">  📂 نوشیدنی ساز  ◀  کاستلو</t>
        </is>
      </c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1" t="n"/>
    </row>
    <row r="65" ht="21" customHeight="1" s="38">
      <c r="A65" s="23" t="inlineStr">
        <is>
          <t>آسیاب برقی کاستلو مدل 470</t>
        </is>
      </c>
      <c r="B65" s="24" t="n"/>
      <c r="C65" s="24">
        <f>IF(OR(ISBLANK(B65),B65=""),"",IF($L65="متغیر","⚠️ والد متغیر نباید قیمت داشته باشد",B65/10))</f>
        <v/>
      </c>
      <c r="D65" s="24" t="n"/>
      <c r="E65" s="44">
        <f>IF(OR(ISBLANK(B65),B65="",ISBLANK(D65),D65="",D65&lt;=0,$L65="متغیر"),"",(B65-D65)/D65)</f>
        <v/>
      </c>
      <c r="F65" s="24" t="n"/>
      <c r="G65" s="24">
        <f>IF(OR(ISBLANK(F65),F65=""),"",IF($L65="متغیر","",F65/10))</f>
        <v/>
      </c>
      <c r="H65" s="26" t="inlineStr">
        <is>
          <t>✗ ناموجود</t>
        </is>
      </c>
      <c r="I65" s="26" t="inlineStr">
        <is>
          <t>نوشیدنی ساز</t>
        </is>
      </c>
      <c r="J65" s="26" t="inlineStr">
        <is>
          <t>نوشیدنی ساز کاستلو</t>
        </is>
      </c>
      <c r="K65" s="26" t="inlineStr">
        <is>
          <t>کاستلو</t>
        </is>
      </c>
      <c r="L65" s="26" t="inlineStr">
        <is>
          <t>ساده</t>
        </is>
      </c>
      <c r="M65" s="26" t="n"/>
      <c r="N65" s="26" t="inlineStr">
        <is>
          <t>4133</t>
        </is>
      </c>
      <c r="O65" s="26" t="n"/>
      <c r="P65" s="33" t="inlineStr">
        <is>
          <t>https://hosseinykala.ir/product/castello-470-electric-grinder/</t>
        </is>
      </c>
      <c r="Q65" s="26" t="n"/>
      <c r="R65" s="26" t="inlineStr">
        <is>
          <t>ثبت‌شده در سایت</t>
        </is>
      </c>
    </row>
    <row r="66" ht="21.95" customHeight="1" s="38">
      <c r="A66" s="39" t="inlineStr">
        <is>
          <t xml:space="preserve">  📂 نوشیدنی ساز  ◀  کنوود</t>
        </is>
      </c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1" t="n"/>
    </row>
    <row r="67" ht="21" customHeight="1" s="38">
      <c r="A67" s="23" t="inlineStr">
        <is>
          <t>همزن برقی کنوود مدل HM430</t>
        </is>
      </c>
      <c r="B67" s="24" t="n"/>
      <c r="C67" s="24">
        <f>IF(OR(ISBLANK(B67),B67=""),"",IF($L67="متغیر","⚠️ والد متغیر نباید قیمت داشته باشد",B67/10))</f>
        <v/>
      </c>
      <c r="D67" s="24" t="n"/>
      <c r="E67" s="44">
        <f>IF(OR(ISBLANK(B67),B67="",ISBLANK(D67),D67="",D67&lt;=0,$L67="متغیر"),"",(B67-D67)/D67)</f>
        <v/>
      </c>
      <c r="F67" s="24" t="n"/>
      <c r="G67" s="24">
        <f>IF(OR(ISBLANK(F67),F67=""),"",IF($L67="متغیر","",F67/10))</f>
        <v/>
      </c>
      <c r="H67" s="26" t="inlineStr">
        <is>
          <t>✗ ناموجود</t>
        </is>
      </c>
      <c r="I67" s="26" t="inlineStr">
        <is>
          <t>نوشیدنی ساز</t>
        </is>
      </c>
      <c r="J67" s="26" t="inlineStr">
        <is>
          <t>نوشیدنی ساز کنوود</t>
        </is>
      </c>
      <c r="K67" s="26" t="inlineStr">
        <is>
          <t>کنوود</t>
        </is>
      </c>
      <c r="L67" s="26" t="inlineStr">
        <is>
          <t>ساده</t>
        </is>
      </c>
      <c r="M67" s="26" t="n"/>
      <c r="N67" s="26" t="inlineStr">
        <is>
          <t>3988</t>
        </is>
      </c>
      <c r="O67" s="26" t="n"/>
      <c r="P67" s="33" t="inlineStr">
        <is>
          <t>https://hosseinykala.ir/product/kenwood-hm430-hand-mixer/</t>
        </is>
      </c>
      <c r="Q67" s="26" t="n"/>
      <c r="R67" s="26" t="inlineStr">
        <is>
          <t>ثبت‌شده در سایت</t>
        </is>
      </c>
    </row>
    <row r="68" ht="21" customHeight="1" s="38">
      <c r="A68" s="23" t="inlineStr">
        <is>
          <t>آب مرکبات گیری برقی کنوود</t>
        </is>
      </c>
      <c r="B68" s="24" t="n"/>
      <c r="C68" s="24">
        <f>IF(OR(ISBLANK(B68),B68=""),"",IF($L68="متغیر","⚠️ والد متغیر نباید قیمت داشته باشد",B68/10))</f>
        <v/>
      </c>
      <c r="D68" s="24" t="n"/>
      <c r="E68" s="44">
        <f>IF(OR(ISBLANK(B68),B68="",ISBLANK(D68),D68="",D68&lt;=0,$L68="متغیر"),"",(B68-D68)/D68)</f>
        <v/>
      </c>
      <c r="F68" s="24" t="n"/>
      <c r="G68" s="24">
        <f>IF(OR(ISBLANK(F68),F68=""),"",IF($L68="متغیر","",F68/10))</f>
        <v/>
      </c>
      <c r="H68" s="26" t="inlineStr">
        <is>
          <t>✗ ناموجود</t>
        </is>
      </c>
      <c r="I68" s="26" t="inlineStr">
        <is>
          <t>نوشیدنی ساز</t>
        </is>
      </c>
      <c r="J68" s="26" t="inlineStr">
        <is>
          <t>نوشیدنی ساز کنوود</t>
        </is>
      </c>
      <c r="K68" s="26" t="inlineStr">
        <is>
          <t>کنوود</t>
        </is>
      </c>
      <c r="L68" s="26" t="inlineStr">
        <is>
          <t>ساده</t>
        </is>
      </c>
      <c r="M68" s="26" t="n"/>
      <c r="N68" s="26" t="n">
        <v>4258</v>
      </c>
      <c r="O68" s="26" t="n"/>
      <c r="P68" s="33" t="inlineStr">
        <is>
          <t>https://hosseinykala.ir/product/kenwood-je290-electric-citrus-juicer/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نوشیدنی ساز  ◀  کورکماز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چای ساز کورکماز مدل A331</t>
        </is>
      </c>
      <c r="B70" s="24" t="n"/>
      <c r="C70" s="24">
        <f>IF(OR(ISBLANK(B70),B70=""),"",IF($L70="متغیر","⚠️ والد متغیر نباید قیمت داشته باشد",B70/10))</f>
        <v/>
      </c>
      <c r="D70" s="24" t="n"/>
      <c r="E70" s="44">
        <f>IF(OR(ISBLANK(B70),B70="",ISBLANK(D70),D70="",D70&lt;=0,$L70="متغیر"),"",(B70-D70)/D70)</f>
        <v/>
      </c>
      <c r="F70" s="24" t="n"/>
      <c r="G70" s="24">
        <f>IF(OR(ISBLANK(F70),F70=""),"",IF($L70="متغیر","",F70/10))</f>
        <v/>
      </c>
      <c r="H70" s="26" t="inlineStr">
        <is>
          <t>✗ ناموجود</t>
        </is>
      </c>
      <c r="I70" s="26" t="inlineStr">
        <is>
          <t>نوشیدنی ساز</t>
        </is>
      </c>
      <c r="J70" s="26" t="inlineStr">
        <is>
          <t>نوشیدنی ساز کورکماز</t>
        </is>
      </c>
      <c r="K70" s="26" t="inlineStr">
        <is>
          <t>کورکماز</t>
        </is>
      </c>
      <c r="L70" s="26" t="inlineStr">
        <is>
          <t>ساده</t>
        </is>
      </c>
      <c r="M70" s="26" t="n"/>
      <c r="N70" s="26" t="inlineStr">
        <is>
          <t>4135</t>
        </is>
      </c>
      <c r="O70" s="26" t="n"/>
      <c r="P70" s="33" t="inlineStr">
        <is>
          <t>https://hosseinykala.ir/product/korkmaz-a331-tea-maker/</t>
        </is>
      </c>
      <c r="Q70" s="26" t="n"/>
      <c r="R70" s="26" t="inlineStr">
        <is>
          <t>ثبت‌شده در سایت</t>
        </is>
      </c>
    </row>
    <row r="71" ht="21" customHeight="1" s="38">
      <c r="A71" s="23" t="inlineStr">
        <is>
          <t>چای‌ساز تمام استیل کورکماز مدل A331 چای‌تما</t>
        </is>
      </c>
      <c r="B71" s="24" t="n">
        <v>190000000</v>
      </c>
      <c r="C71" s="24">
        <f>IF(OR(ISBLANK(B71),B71=""),"",IF($L71="متغیر","⚠️ والد متغیر نباید قیمت داشته باشد",B71/10))</f>
        <v/>
      </c>
      <c r="D71" s="24" t="n">
        <v>190000000</v>
      </c>
      <c r="E71" s="44">
        <f>IF(OR(ISBLANK(B71),B71="",ISBLANK(D71),D71="",D71&lt;=0,$L71="متغیر"),"",(B71-D71)/D71)</f>
        <v/>
      </c>
      <c r="F71" s="24" t="n">
        <v>180500000</v>
      </c>
      <c r="G71" s="24">
        <f>IF(OR(ISBLANK(F71),F71=""),"",IF($L71="متغیر","",F71/10))</f>
        <v/>
      </c>
      <c r="H71" s="26" t="inlineStr">
        <is>
          <t>✓ موجود</t>
        </is>
      </c>
      <c r="I71" s="26" t="inlineStr">
        <is>
          <t>نوشیدنی ساز</t>
        </is>
      </c>
      <c r="J71" s="26" t="inlineStr">
        <is>
          <t>نوشیدنی ساز کورکماز</t>
        </is>
      </c>
      <c r="K71" s="26" t="inlineStr">
        <is>
          <t>کورکماز</t>
        </is>
      </c>
      <c r="L71" s="26" t="inlineStr">
        <is>
          <t>ساده</t>
        </is>
      </c>
      <c r="M71" s="26" t="n"/>
      <c r="N71" s="26" t="inlineStr">
        <is>
          <t>3673</t>
        </is>
      </c>
      <c r="O71" s="26" t="n"/>
      <c r="P71" s="33" t="inlineStr">
        <is>
          <t>https://hosseinykala.ir/?p=3673</t>
        </is>
      </c>
      <c r="Q71" s="26" t="n"/>
      <c r="R71" s="26" t="inlineStr">
        <is>
          <t>ثبت‌شده در سایت</t>
        </is>
      </c>
    </row>
    <row r="72" ht="21.95" customHeight="1" s="38">
      <c r="A72" s="39" t="inlineStr">
        <is>
          <t xml:space="preserve">  📂 نوشیدنی ساز  ◀  وگاتی</t>
        </is>
      </c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1" t="n"/>
    </row>
    <row r="73" ht="21" customHeight="1" s="38">
      <c r="A73" s="23" t="inlineStr">
        <is>
          <t>کتری برقی ۱.۸ لیتری وگاتی مدل توپی</t>
        </is>
      </c>
      <c r="B73" s="24" t="n">
        <v>75000000</v>
      </c>
      <c r="C73" s="24">
        <f>IF(OR(ISBLANK(B73),B73=""),"",IF($L73="متغیر","⚠️ والد متغیر نباید قیمت داشته باشد",B73/10))</f>
        <v/>
      </c>
      <c r="D73" s="24" t="n">
        <v>75000000</v>
      </c>
      <c r="E73" s="44">
        <f>IF(OR(ISBLANK(B73),B73="",ISBLANK(D73),D73="",D73&lt;=0,$L73="متغیر"),"",(B73-D73)/D73)</f>
        <v/>
      </c>
      <c r="F73" s="24" t="n">
        <v>71250000</v>
      </c>
      <c r="G73" s="24">
        <f>IF(OR(ISBLANK(F73),F73=""),"",IF($L73="متغیر","",F73/10))</f>
        <v/>
      </c>
      <c r="H73" s="26" t="inlineStr">
        <is>
          <t>✓ موجود</t>
        </is>
      </c>
      <c r="I73" s="26" t="inlineStr">
        <is>
          <t>نوشیدنی ساز</t>
        </is>
      </c>
      <c r="J73" s="26" t="inlineStr">
        <is>
          <t>نوشیدنی ساز وگاتی</t>
        </is>
      </c>
      <c r="K73" s="26" t="inlineStr">
        <is>
          <t>وگاتی</t>
        </is>
      </c>
      <c r="L73" s="26" t="inlineStr">
        <is>
          <t>ساده</t>
        </is>
      </c>
      <c r="M73" s="26" t="n"/>
      <c r="N73" s="26" t="inlineStr">
        <is>
          <t>3668</t>
        </is>
      </c>
      <c r="O73" s="26" t="n"/>
      <c r="P73" s="33" t="inlineStr">
        <is>
          <t>https://hosseinykala.ir/?p=3668</t>
        </is>
      </c>
      <c r="Q73" s="26" t="n"/>
      <c r="R73" s="26" t="inlineStr">
        <is>
          <t>ثبت‌شده در سایت</t>
        </is>
      </c>
    </row>
    <row r="74" ht="21.95" customHeight="1" s="38">
      <c r="A74" s="39" t="inlineStr">
        <is>
          <t xml:space="preserve">  📂 نوشیدنی ساز  ◀  اریکسون</t>
        </is>
      </c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1" t="n"/>
    </row>
    <row r="75" ht="21" customHeight="1" s="38">
      <c r="A75" s="23" t="inlineStr">
        <is>
          <t>کتری برقی استیل ۲۰۰۰ وات اریکسون مدل ۱.۸ لیتری</t>
        </is>
      </c>
      <c r="B75" s="24" t="n">
        <v>65000000</v>
      </c>
      <c r="C75" s="24">
        <f>IF(OR(ISBLANK(B75),B75=""),"",IF($L75="متغیر","⚠️ والد متغیر نباید قیمت داشته باشد",B75/10))</f>
        <v/>
      </c>
      <c r="D75" s="24" t="n">
        <v>65000000</v>
      </c>
      <c r="E75" s="44">
        <f>IF(OR(ISBLANK(B75),B75="",ISBLANK(D75),D75="",D75&lt;=0,$L75="متغیر"),"",(B75-D75)/D75)</f>
        <v/>
      </c>
      <c r="F75" s="24" t="n">
        <v>61750000</v>
      </c>
      <c r="G75" s="24">
        <f>IF(OR(ISBLANK(F75),F75=""),"",IF($L75="متغیر","",F75/10))</f>
        <v/>
      </c>
      <c r="H75" s="26" t="inlineStr">
        <is>
          <t>✓ موجود</t>
        </is>
      </c>
      <c r="I75" s="26" t="inlineStr">
        <is>
          <t>نوشیدنی ساز</t>
        </is>
      </c>
      <c r="J75" s="26" t="inlineStr">
        <is>
          <t>نوشیدنی ساز اریکسون</t>
        </is>
      </c>
      <c r="K75" s="26" t="inlineStr">
        <is>
          <t>اریکسون</t>
        </is>
      </c>
      <c r="L75" s="26" t="inlineStr">
        <is>
          <t>ساده</t>
        </is>
      </c>
      <c r="M75" s="26" t="n"/>
      <c r="N75" s="26" t="inlineStr">
        <is>
          <t>3653</t>
        </is>
      </c>
      <c r="O75" s="26" t="n"/>
      <c r="P75" s="33" t="inlineStr">
        <is>
          <t>https://hosseinykala.ir/?p=3653</t>
        </is>
      </c>
      <c r="Q75" s="26" t="n"/>
      <c r="R75" s="26" t="inlineStr">
        <is>
          <t>ثبت‌شده در سایت</t>
        </is>
      </c>
    </row>
    <row r="76" ht="21.95" customHeight="1" s="38">
      <c r="A76" s="39" t="inlineStr">
        <is>
          <t xml:space="preserve">  📂 نوشیدنی ساز  ◀  کی اس تی (KST)</t>
        </is>
      </c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1" t="n"/>
    </row>
    <row r="77" ht="21" customHeight="1" s="38">
      <c r="A77" s="23" t="inlineStr">
        <is>
          <t>ست کتری و قوری هرمی کی اس تی مدل 604 تمام طلا</t>
        </is>
      </c>
      <c r="B77" s="24" t="n"/>
      <c r="C77" s="24">
        <f>IF(OR(ISBLANK(B77),B77=""),"",IF($L77="متغیر","⚠️ والد متغیر نباید قیمت داشته باشد",B77/10))</f>
        <v/>
      </c>
      <c r="D77" s="24" t="n"/>
      <c r="E77" s="44">
        <f>IF(OR(ISBLANK(B77),B77="",ISBLANK(D77),D77="",D77&lt;=0,$L77="متغیر"),"",(B77-D77)/D77)</f>
        <v/>
      </c>
      <c r="F77" s="24" t="n"/>
      <c r="G77" s="24">
        <f>IF(OR(ISBLANK(F77),F77=""),"",IF($L77="متغیر","",F77/10))</f>
        <v/>
      </c>
      <c r="H77" s="26" t="inlineStr">
        <is>
          <t>✗ ناموجود</t>
        </is>
      </c>
      <c r="I77" s="26" t="inlineStr">
        <is>
          <t>نوشیدنی ساز</t>
        </is>
      </c>
      <c r="J77" s="26" t="inlineStr">
        <is>
          <t>نوشیدنی ساز کی اس تی (KST)</t>
        </is>
      </c>
      <c r="K77" s="26" t="inlineStr">
        <is>
          <t>کی اس تی (KST)</t>
        </is>
      </c>
      <c r="L77" s="26" t="inlineStr">
        <is>
          <t>ساده</t>
        </is>
      </c>
      <c r="M77" s="26" t="n"/>
      <c r="N77" s="26" t="n"/>
      <c r="O77" s="26" t="n"/>
      <c r="P77" s="33" t="n"/>
      <c r="Q77" s="26" t="n"/>
      <c r="R77" s="26" t="inlineStr">
        <is>
          <t>فعلا دست نگه دار</t>
        </is>
      </c>
    </row>
    <row r="78" ht="21.95" customHeight="1" s="38">
      <c r="A78" s="39" t="inlineStr">
        <is>
          <t xml:space="preserve">  📂 نوشیدنی ساز  ◀  مایر</t>
        </is>
      </c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1" t="n"/>
    </row>
    <row r="79" ht="21" customHeight="1" s="38">
      <c r="A79" s="23" t="inlineStr">
        <is>
          <t>آسیاب قهوه مایر</t>
        </is>
      </c>
      <c r="B79" s="24" t="n">
        <v>95000000</v>
      </c>
      <c r="C79" s="24">
        <f>IF(OR(ISBLANK(B79),B79=""),"",IF($L79="متغیر","⚠️ والد متغیر نباید قیمت داشته باشد",B79/10))</f>
        <v/>
      </c>
      <c r="D79" s="24" t="n">
        <v>95000000</v>
      </c>
      <c r="E79" s="44">
        <f>IF(OR(ISBLANK(B79),B79="",ISBLANK(D79),D79="",D79&lt;=0,$L79="متغیر"),"",(B79-D79)/D79)</f>
        <v/>
      </c>
      <c r="F79" s="24" t="n">
        <v>90250000</v>
      </c>
      <c r="G79" s="24">
        <f>IF(OR(ISBLANK(F79),F79=""),"",IF($L79="متغیر","",F79/10))</f>
        <v/>
      </c>
      <c r="H79" s="26" t="inlineStr">
        <is>
          <t>✓ موجود</t>
        </is>
      </c>
      <c r="I79" s="26" t="inlineStr">
        <is>
          <t>نوشیدنی ساز</t>
        </is>
      </c>
      <c r="J79" s="26" t="inlineStr">
        <is>
          <t>نوشیدنی ساز مایر</t>
        </is>
      </c>
      <c r="K79" s="26" t="inlineStr">
        <is>
          <t>مایر</t>
        </is>
      </c>
      <c r="L79" s="26" t="inlineStr">
        <is>
          <t>ساده</t>
        </is>
      </c>
      <c r="M79" s="26" t="n"/>
      <c r="N79" s="26" t="n">
        <v>4249</v>
      </c>
      <c r="O79" s="26" t="n"/>
      <c r="P79" s="33" t="inlineStr">
        <is>
          <t>https://hosseinykala.ir/product/maier-mr4155-digital-conical-burr-coffee-grinder/</t>
        </is>
      </c>
      <c r="Q79" s="26" t="n"/>
      <c r="R79" s="26" t="inlineStr">
        <is>
          <t>ثبت‌شده در سایت</t>
        </is>
      </c>
    </row>
    <row r="80" ht="21.95" customHeight="1" s="38">
      <c r="A80" s="39" t="inlineStr">
        <is>
          <t xml:space="preserve">  📂 نوشیدنی ساز  ◀  زیکو</t>
        </is>
      </c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1" t="n"/>
    </row>
    <row r="81" ht="21" customHeight="1" s="38">
      <c r="A81" s="23" t="inlineStr">
        <is>
          <t>آسیاب قهوه زیکو مدل 6501</t>
        </is>
      </c>
      <c r="B81" s="24" t="n">
        <v>340000000</v>
      </c>
      <c r="C81" s="24">
        <f>IF(OR(ISBLANK(B81),B81=""),"",IF($L81="متغیر","⚠️ والد متغیر نباید قیمت داشته باشد",B81/10))</f>
        <v/>
      </c>
      <c r="D81" s="24" t="n">
        <v>340000000</v>
      </c>
      <c r="E81" s="44">
        <f>IF(OR(ISBLANK(B81),B81="",ISBLANK(D81),D81="",D81&lt;=0,$L81="متغیر"),"",(B81-D81)/D81)</f>
        <v/>
      </c>
      <c r="F81" s="24" t="n">
        <v>323000000</v>
      </c>
      <c r="G81" s="24">
        <f>IF(OR(ISBLANK(F81),F81=""),"",IF($L81="متغیر","",F81/10))</f>
        <v/>
      </c>
      <c r="H81" s="26" t="inlineStr">
        <is>
          <t>✓ موجود</t>
        </is>
      </c>
      <c r="I81" s="26" t="inlineStr">
        <is>
          <t>نوشیدنی ساز</t>
        </is>
      </c>
      <c r="J81" s="26" t="inlineStr">
        <is>
          <t>نوشیدنی ساز زیکو</t>
        </is>
      </c>
      <c r="K81" s="26" t="inlineStr">
        <is>
          <t>زیکو</t>
        </is>
      </c>
      <c r="L81" s="26" t="inlineStr">
        <is>
          <t>ساده</t>
        </is>
      </c>
      <c r="M81" s="26" t="n"/>
      <c r="N81" s="26" t="n">
        <v>4251</v>
      </c>
      <c r="O81" s="26" t="n"/>
      <c r="P81" s="33" t="inlineStr">
        <is>
          <t>https://hosseinykala.ir/product/ziko-zc6501-digital-coffee-grinder/</t>
        </is>
      </c>
      <c r="Q81" s="26" t="n"/>
      <c r="R81" s="26" t="inlineStr">
        <is>
          <t>ثبت‌شده در سایت</t>
        </is>
      </c>
    </row>
    <row r="82" ht="21" customHeight="1" s="38">
      <c r="A82" s="23" t="inlineStr">
        <is>
          <t>آسیاب قهوه زیکو مدل 6502</t>
        </is>
      </c>
      <c r="B82" s="24" t="n">
        <v>310000000</v>
      </c>
      <c r="C82" s="24">
        <f>IF(OR(ISBLANK(B82),B82=""),"",IF($L82="متغیر","⚠️ والد متغیر نباید قیمت داشته باشد",B82/10))</f>
        <v/>
      </c>
      <c r="D82" s="24" t="n">
        <v>310000000</v>
      </c>
      <c r="E82" s="44">
        <f>IF(OR(ISBLANK(B82),B82="",ISBLANK(D82),D82="",D82&lt;=0,$L82="متغیر"),"",(B82-D82)/D82)</f>
        <v/>
      </c>
      <c r="F82" s="24" t="n">
        <v>294500000</v>
      </c>
      <c r="G82" s="24">
        <f>IF(OR(ISBLANK(F82),F82=""),"",IF($L82="متغیر","",F82/10))</f>
        <v/>
      </c>
      <c r="H82" s="26" t="inlineStr">
        <is>
          <t>✓ موجود</t>
        </is>
      </c>
      <c r="I82" s="26" t="inlineStr">
        <is>
          <t>نوشیدنی ساز</t>
        </is>
      </c>
      <c r="J82" s="26" t="inlineStr">
        <is>
          <t>نوشیدنی ساز زیکو</t>
        </is>
      </c>
      <c r="K82" s="26" t="inlineStr">
        <is>
          <t>زیکو</t>
        </is>
      </c>
      <c r="L82" s="26" t="inlineStr">
        <is>
          <t>ساده</t>
        </is>
      </c>
      <c r="M82" s="26" t="n"/>
      <c r="N82" s="26" t="n">
        <v>4253</v>
      </c>
      <c r="O82" s="26" t="n"/>
      <c r="P82" s="33" t="inlineStr">
        <is>
          <t>https://hosseinykala.ir/product/ziko-zc6502-digital-coffee-grinder/</t>
        </is>
      </c>
      <c r="Q82" s="26" t="n"/>
      <c r="R82" s="26" t="inlineStr">
        <is>
          <t>ثبت‌شده در سایت</t>
        </is>
      </c>
    </row>
    <row r="83" ht="21" customHeight="1" s="38">
      <c r="A83" s="23" t="inlineStr">
        <is>
          <t>آبمیوه گیری زیکو مدل 4038</t>
        </is>
      </c>
      <c r="B83" s="24" t="n">
        <v>375000000</v>
      </c>
      <c r="C83" s="24">
        <f>IF(OR(ISBLANK(B83),B83=""),"",IF($L83="متغیر","⚠️ والد متغیر نباید قیمت داشته باشد",B83/10))</f>
        <v/>
      </c>
      <c r="D83" s="24" t="n">
        <v>375000000</v>
      </c>
      <c r="E83" s="44">
        <f>IF(OR(ISBLANK(B83),B83="",ISBLANK(D83),D83="",D83&lt;=0,$L83="متغیر"),"",(B83-D83)/D83)</f>
        <v/>
      </c>
      <c r="F83" s="24" t="n">
        <v>356250000</v>
      </c>
      <c r="G83" s="24">
        <f>IF(OR(ISBLANK(F83),F83=""),"",IF($L83="متغیر","",F83/10))</f>
        <v/>
      </c>
      <c r="H83" s="26" t="inlineStr">
        <is>
          <t>✓ موجود</t>
        </is>
      </c>
      <c r="I83" s="26" t="inlineStr">
        <is>
          <t>نوشیدنی ساز</t>
        </is>
      </c>
      <c r="J83" s="26" t="inlineStr">
        <is>
          <t>نوشیدنی ساز زیکو</t>
        </is>
      </c>
      <c r="K83" s="26" t="inlineStr">
        <is>
          <t>زیکو</t>
        </is>
      </c>
      <c r="L83" s="26" t="inlineStr">
        <is>
          <t>ساده</t>
        </is>
      </c>
      <c r="M83" s="26" t="n"/>
      <c r="N83" s="26" t="n">
        <v>4255</v>
      </c>
      <c r="O83" s="26" t="n"/>
      <c r="P83" s="33" t="inlineStr">
        <is>
          <t>https://hosseinykala.ir/product/ziko-zc4038-digital-electric-juicer/</t>
        </is>
      </c>
      <c r="Q83" s="26" t="n"/>
      <c r="R83" s="26" t="inlineStr">
        <is>
          <t>ثبت‌شده در سایت</t>
        </is>
      </c>
    </row>
    <row r="84" ht="21.95" customHeight="1" s="38">
      <c r="A84" s="39" t="inlineStr">
        <is>
          <t xml:space="preserve">  📂 نوشیدنی ساز  ◀  مباشی</t>
        </is>
      </c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1" t="n"/>
    </row>
    <row r="85" ht="21" customHeight="1" s="38">
      <c r="A85" s="23" t="inlineStr">
        <is>
          <t>اسپرسوساز مباشی</t>
        </is>
      </c>
      <c r="B85" s="24" t="n">
        <v>550000000</v>
      </c>
      <c r="C85" s="24">
        <f>IF(OR(ISBLANK(B85),B85=""),"",IF($L85="متغیر","⚠️ والد متغیر نباید قیمت داشته باشد",B85/10))</f>
        <v/>
      </c>
      <c r="D85" s="24" t="n">
        <v>550000000</v>
      </c>
      <c r="E85" s="44">
        <f>IF(OR(ISBLANK(B85),B85="",ISBLANK(D85),D85="",D85&lt;=0,$L85="متغیر"),"",(B85-D85)/D85)</f>
        <v/>
      </c>
      <c r="F85" s="24" t="n">
        <v>522500000</v>
      </c>
      <c r="G85" s="24">
        <f>IF(OR(ISBLANK(F85),F85=""),"",IF($L85="متغیر","",F85/10))</f>
        <v/>
      </c>
      <c r="H85" s="26" t="inlineStr">
        <is>
          <t>✓ موجود</t>
        </is>
      </c>
      <c r="I85" s="26" t="inlineStr">
        <is>
          <t>نوشیدنی ساز</t>
        </is>
      </c>
      <c r="J85" s="26" t="inlineStr">
        <is>
          <t>نوشیدنی ساز مباشی</t>
        </is>
      </c>
      <c r="K85" s="26" t="inlineStr">
        <is>
          <t>مباشی</t>
        </is>
      </c>
      <c r="L85" s="26" t="inlineStr">
        <is>
          <t>ساده</t>
        </is>
      </c>
      <c r="M85" s="26" t="n"/>
      <c r="N85" s="26" t="n">
        <v>4257</v>
      </c>
      <c r="O85" s="26" t="n"/>
      <c r="P85" s="33" t="inlineStr">
        <is>
          <t>https://hosseinykala.ir/product/mebashi-semi-industrial-digital-espresso-maker/</t>
        </is>
      </c>
      <c r="Q85" s="26" t="n"/>
      <c r="R85" s="26" t="inlineStr">
        <is>
          <t>ثبت‌شده در سایت</t>
        </is>
      </c>
    </row>
  </sheetData>
  <autoFilter ref="A1:R1"/>
  <mergeCells count="25">
    <mergeCell ref="A78:R78"/>
    <mergeCell ref="A69:R69"/>
    <mergeCell ref="A7:R7"/>
    <mergeCell ref="A54:R54"/>
    <mergeCell ref="A84:R84"/>
    <mergeCell ref="A66:R66"/>
    <mergeCell ref="A80:R80"/>
    <mergeCell ref="A27:R27"/>
    <mergeCell ref="A74:R74"/>
    <mergeCell ref="A50:R50"/>
    <mergeCell ref="A56:R56"/>
    <mergeCell ref="A2:R2"/>
    <mergeCell ref="A32:R32"/>
    <mergeCell ref="A76:R76"/>
    <mergeCell ref="A17:R17"/>
    <mergeCell ref="A72:R72"/>
    <mergeCell ref="A29:R29"/>
    <mergeCell ref="A43:R43"/>
    <mergeCell ref="A52:R52"/>
    <mergeCell ref="A58:R58"/>
    <mergeCell ref="A34:R34"/>
    <mergeCell ref="A64:R64"/>
    <mergeCell ref="A60:R60"/>
    <mergeCell ref="A36:R36"/>
    <mergeCell ref="A45:R45"/>
  </mergeCells>
  <conditionalFormatting sqref="A2:R85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85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85">
    <cfRule type="expression" priority="6" dxfId="3" stopIfTrue="1">
      <formula>AND(ISNUMBER($B2), ISNUMBER($D2), $D2&gt;0, ABS(($B2-$D2)/$D2)&gt;=0.5, $L2&lt;&gt;"متغیر")</formula>
    </cfRule>
  </conditionalFormatting>
  <conditionalFormatting sqref="F2:F85">
    <cfRule type="expression" priority="4" dxfId="2" stopIfTrue="1">
      <formula>AND($L2="متغیر", OR(ISNUMBER(B2), ISNUMBER(F2)))</formula>
    </cfRule>
  </conditionalFormatting>
  <conditionalFormatting sqref="H2:H85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85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85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rightToLeft="1" workbookViewId="0">
      <pane ySplit="1" topLeftCell="A32" activePane="bottomLeft" state="frozen"/>
      <selection pane="bottomLeft" activeCell="B40" sqref="B40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سرمایش و گرمایش  ◀  الکترواستیل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آبگرمکن مخزندار دیواری الکترواستیل</t>
        </is>
      </c>
      <c r="B3" s="24" t="n">
        <v>280000000</v>
      </c>
      <c r="C3" s="24">
        <f>IF(OR(ISBLANK(B3),B3=""),"",IF($L3="متغیر","⚠️ والد متغیر نباید قیمت داشته باشد",B3/10))</f>
        <v/>
      </c>
      <c r="D3" s="24" t="n">
        <v>280000000</v>
      </c>
      <c r="E3" s="44">
        <f>IF(OR(ISBLANK(B3),B3="",ISBLANK(D3),D3="",D3&lt;=0,$L3="متغیر"),"",(B3-D3)/D3)</f>
        <v/>
      </c>
      <c r="F3" s="24" t="n">
        <v>266000000</v>
      </c>
      <c r="G3" s="24">
        <f>IF(OR(ISBLANK(F3),F3=""),"",IF($L3="متغیر","",F3/10))</f>
        <v/>
      </c>
      <c r="H3" s="26" t="inlineStr">
        <is>
          <t>✓ موجود</t>
        </is>
      </c>
      <c r="I3" s="26" t="inlineStr">
        <is>
          <t>سرمایش و گرمایش</t>
        </is>
      </c>
      <c r="J3" s="26" t="inlineStr">
        <is>
          <t>سرمایش و گرمایش الکترواستیل</t>
        </is>
      </c>
      <c r="K3" s="26" t="inlineStr">
        <is>
          <t>الکترواستیل</t>
        </is>
      </c>
      <c r="L3" s="26" t="inlineStr">
        <is>
          <t>ساده</t>
        </is>
      </c>
      <c r="M3" s="26" t="n"/>
      <c r="N3" s="26" t="inlineStr">
        <is>
          <t>4137</t>
        </is>
      </c>
      <c r="O3" s="26" t="n"/>
      <c r="P3" s="33" t="inlineStr">
        <is>
          <t>https://hosseinykala.ir/product/electrosteel-wall-mounted-water-heater/</t>
        </is>
      </c>
      <c r="Q3" s="26" t="n"/>
      <c r="R3" s="26" t="inlineStr">
        <is>
          <t>ثبت‌شده در سایت</t>
        </is>
      </c>
    </row>
    <row r="4" ht="21.95" customHeight="1" s="38">
      <c r="A4" s="39" t="inlineStr">
        <is>
          <t xml:space="preserve">  📂 سرمایش و گرمایش  ◀  وستینگهاوس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کولر گازی وستینگهاوس 30 کوپلند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سرمایش و گرمایش</t>
        </is>
      </c>
      <c r="J5" s="26" t="inlineStr">
        <is>
          <t>سرمایش و گرمایش وستینگهاوس</t>
        </is>
      </c>
      <c r="K5" s="26" t="inlineStr">
        <is>
          <t>وستینگهاوس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سرمایش و گرمایش  ◀  الکترا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پنکه پایه بلند الکترا</t>
        </is>
      </c>
      <c r="B7" s="24" t="n"/>
      <c r="C7" s="24">
        <f>IF(OR(ISBLANK(B7),B7=""),"",IF($L7="متغیر","⚠️ والد متغیر نباید قیمت داشته باشد",B7/10))</f>
        <v/>
      </c>
      <c r="D7" s="24" t="n"/>
      <c r="E7" s="44">
        <f>IF(OR(ISBLANK(B7),B7="",ISBLANK(D7),D7="",D7&lt;=0,$L7="متغیر"),"",(B7-D7)/D7)</f>
        <v/>
      </c>
      <c r="F7" s="24" t="n"/>
      <c r="G7" s="24">
        <f>IF(OR(ISBLANK(F7),F7=""),"",IF($L7="متغیر","",F7/10))</f>
        <v/>
      </c>
      <c r="H7" s="26" t="inlineStr">
        <is>
          <t>✗ ناموجود</t>
        </is>
      </c>
      <c r="I7" s="26" t="inlineStr">
        <is>
          <t>سرمایش و گرمایش</t>
        </is>
      </c>
      <c r="J7" s="26" t="inlineStr">
        <is>
          <t>سرمایش و گرمایش الکترا</t>
        </is>
      </c>
      <c r="K7" s="26" t="inlineStr">
        <is>
          <t>الکترا</t>
        </is>
      </c>
      <c r="L7" s="26" t="inlineStr">
        <is>
          <t>ساده</t>
        </is>
      </c>
      <c r="M7" s="26" t="n"/>
      <c r="N7" s="26" t="n"/>
      <c r="O7" s="26" t="n"/>
      <c r="P7" s="33" t="n"/>
      <c r="Q7" s="26" t="n"/>
      <c r="R7" s="26" t="inlineStr">
        <is>
          <t>فعلا دست نگه دار</t>
        </is>
      </c>
    </row>
    <row r="8" ht="21.95" customHeight="1" s="38">
      <c r="A8" s="39" t="inlineStr">
        <is>
          <t xml:space="preserve">  📂 سرمایش و گرمایش  ◀  اوجنرال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کولر پنجره ای اوجنرال 18 هزار</t>
        </is>
      </c>
      <c r="B9" s="24" t="n"/>
      <c r="C9" s="24">
        <f>IF(OR(ISBLANK(B9),B9=""),"",IF($L9="متغیر","⚠️ والد متغیر نباید قیمت داشته باشد",B9/10))</f>
        <v/>
      </c>
      <c r="D9" s="24" t="n"/>
      <c r="E9" s="44">
        <f>IF(OR(ISBLANK(B9),B9="",ISBLANK(D9),D9="",D9&lt;=0,$L9="متغیر"),"",(B9-D9)/D9)</f>
        <v/>
      </c>
      <c r="F9" s="24" t="n"/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سرمایش و گرمایش</t>
        </is>
      </c>
      <c r="J9" s="26" t="inlineStr">
        <is>
          <t>سرمایش و گرمایش اوجنرال</t>
        </is>
      </c>
      <c r="K9" s="26" t="inlineStr">
        <is>
          <t>اوجنرال</t>
        </is>
      </c>
      <c r="L9" s="26" t="inlineStr">
        <is>
          <t>ساده</t>
        </is>
      </c>
      <c r="M9" s="26" t="n"/>
      <c r="N9" s="26" t="inlineStr">
        <is>
          <t>4139</t>
        </is>
      </c>
      <c r="O9" s="26" t="n"/>
      <c r="P9" s="33" t="inlineStr">
        <is>
          <t>https://hosseinykala.ir/product/ogeneral-18000-window-air-conditioner/</t>
        </is>
      </c>
      <c r="Q9" s="26" t="n"/>
      <c r="R9" s="26" t="inlineStr">
        <is>
          <t>ثبت‌شده در سایت</t>
        </is>
      </c>
    </row>
    <row r="10" ht="21.95" customHeight="1" s="38">
      <c r="A10" s="39" t="inlineStr">
        <is>
          <t xml:space="preserve">  📂 سرمایش و گرمایش  ◀  اوناکس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1" t="n"/>
    </row>
    <row r="11" ht="21" customHeight="1" s="38">
      <c r="A11" s="23" t="inlineStr">
        <is>
          <t>کولر آبی اوناکس مدل B35</t>
        </is>
      </c>
      <c r="B11" s="24" t="n"/>
      <c r="C11" s="24">
        <f>IF(OR(ISBLANK(B11),B11=""),"",IF($L11="متغیر","⚠️ والد متغیر نباید قیمت داشته باشد",B11/10))</f>
        <v/>
      </c>
      <c r="D11" s="24" t="n"/>
      <c r="E11" s="44">
        <f>IF(OR(ISBLANK(B11),B11="",ISBLANK(D11),D11="",D11&lt;=0,$L11="متغیر"),"",(B11-D11)/D11)</f>
        <v/>
      </c>
      <c r="F11" s="24" t="n"/>
      <c r="G11" s="24">
        <f>IF(OR(ISBLANK(F11),F11=""),"",IF($L11="متغیر","",F11/10))</f>
        <v/>
      </c>
      <c r="H11" s="26" t="inlineStr">
        <is>
          <t>✗ ناموجود</t>
        </is>
      </c>
      <c r="I11" s="26" t="inlineStr">
        <is>
          <t>سرمایش و گرمایش</t>
        </is>
      </c>
      <c r="J11" s="26" t="inlineStr">
        <is>
          <t>سرمایش و گرمایش اوناکس</t>
        </is>
      </c>
      <c r="K11" s="26" t="inlineStr">
        <is>
          <t>اوناکس</t>
        </is>
      </c>
      <c r="L11" s="26" t="inlineStr">
        <is>
          <t>ساده</t>
        </is>
      </c>
      <c r="M11" s="26" t="n"/>
      <c r="N11" s="26" t="n"/>
      <c r="O11" s="26" t="n"/>
      <c r="P11" s="33" t="n"/>
      <c r="Q11" s="26" t="n"/>
      <c r="R11" s="26" t="inlineStr">
        <is>
          <t>فعلا دست نگه دار</t>
        </is>
      </c>
    </row>
    <row r="12" ht="21" customHeight="1" s="38">
      <c r="A12" s="23" t="inlineStr">
        <is>
          <t>کولر آبی اوناکس مدل H50 یاسان</t>
        </is>
      </c>
      <c r="B12" s="24" t="n"/>
      <c r="C12" s="24">
        <f>IF(OR(ISBLANK(B12),B12=""),"",IF($L12="متغیر","⚠️ والد متغیر نباید قیمت داشته باشد",B12/10))</f>
        <v/>
      </c>
      <c r="D12" s="24" t="n"/>
      <c r="E12" s="44">
        <f>IF(OR(ISBLANK(B12),B12="",ISBLANK(D12),D12="",D12&lt;=0,$L12="متغیر"),"",(B12-D12)/D12)</f>
        <v/>
      </c>
      <c r="F12" s="24" t="n"/>
      <c r="G12" s="24">
        <f>IF(OR(ISBLANK(F12),F12=""),"",IF($L12="متغیر","",F12/10))</f>
        <v/>
      </c>
      <c r="H12" s="26" t="inlineStr">
        <is>
          <t>✗ ناموجود</t>
        </is>
      </c>
      <c r="I12" s="26" t="inlineStr">
        <is>
          <t>سرمایش و گرمایش</t>
        </is>
      </c>
      <c r="J12" s="26" t="inlineStr">
        <is>
          <t>سرمایش و گرمایش اوناکس</t>
        </is>
      </c>
      <c r="K12" s="26" t="inlineStr">
        <is>
          <t>اوناکس</t>
        </is>
      </c>
      <c r="L12" s="26" t="inlineStr">
        <is>
          <t>ساده</t>
        </is>
      </c>
      <c r="M12" s="26" t="n"/>
      <c r="N12" s="26" t="n"/>
      <c r="O12" s="26" t="n"/>
      <c r="P12" s="33" t="n"/>
      <c r="Q12" s="26" t="n"/>
      <c r="R12" s="26" t="inlineStr">
        <is>
          <t>فعلا دست نگه دار</t>
        </is>
      </c>
    </row>
    <row r="13" ht="21.95" customHeight="1" s="38">
      <c r="A13" s="39" t="inlineStr">
        <is>
          <t xml:space="preserve">  📂 سرمایش و گرمایش  ◀  بوتان</t>
        </is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1" t="n"/>
    </row>
    <row r="14" ht="21" customHeight="1" s="38">
      <c r="A14" s="23" t="inlineStr">
        <is>
          <t>آبگرمکن دیواری بوتان مدل B3115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سرمایش و گرمایش</t>
        </is>
      </c>
      <c r="J14" s="26" t="inlineStr">
        <is>
          <t>سرمایش و گرمایش بوتان</t>
        </is>
      </c>
      <c r="K14" s="26" t="inlineStr">
        <is>
          <t>بوتان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.95" customHeight="1" s="38">
      <c r="A15" s="39" t="inlineStr">
        <is>
          <t xml:space="preserve">  📂 سرمایش و گرمایش  ◀  ریتون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1" t="n"/>
    </row>
    <row r="16" ht="21" customHeight="1" s="38">
      <c r="A16" s="23" t="inlineStr">
        <is>
          <t>کولر آبی سلولزی 7000 ریتون مدل VENTO 7000</t>
        </is>
      </c>
      <c r="B16" s="24" t="n">
        <v>230000000</v>
      </c>
      <c r="C16" s="24">
        <f>IF(OR(ISBLANK(B16),B16=""),"",IF($L16="متغیر","⚠️ والد متغیر نباید قیمت داشته باشد",B16/10))</f>
        <v/>
      </c>
      <c r="D16" s="24" t="n">
        <v>230000000</v>
      </c>
      <c r="E16" s="44">
        <f>IF(OR(ISBLANK(B16),B16="",ISBLANK(D16),D16="",D16&lt;=0,$L16="متغیر"),"",(B16-D16)/D16)</f>
        <v/>
      </c>
      <c r="F16" s="24" t="n">
        <v>218500000</v>
      </c>
      <c r="G16" s="24">
        <f>IF(OR(ISBLANK(F16),F16=""),"",IF($L16="متغیر","",F16/10))</f>
        <v/>
      </c>
      <c r="H16" s="26" t="inlineStr">
        <is>
          <t>✓ موجود</t>
        </is>
      </c>
      <c r="I16" s="26" t="inlineStr">
        <is>
          <t>سرمایش و گرمایش</t>
        </is>
      </c>
      <c r="J16" s="26" t="inlineStr">
        <is>
          <t>سرمایش و گرمایش ریتون</t>
        </is>
      </c>
      <c r="K16" s="26" t="inlineStr">
        <is>
          <t>ریتون</t>
        </is>
      </c>
      <c r="L16" s="26" t="inlineStr">
        <is>
          <t>ساده</t>
        </is>
      </c>
      <c r="M16" s="26" t="n"/>
      <c r="N16" s="26" t="inlineStr">
        <is>
          <t>2559</t>
        </is>
      </c>
      <c r="O16" s="26" t="n"/>
      <c r="P16" s="33" t="inlineStr">
        <is>
          <t>https://hosseinykala.ir/?p=2559</t>
        </is>
      </c>
      <c r="Q16" s="26" t="n"/>
      <c r="R16" s="26" t="inlineStr">
        <is>
          <t>ثبت‌شده در سایت</t>
        </is>
      </c>
    </row>
    <row r="17" ht="21" customHeight="1" s="38">
      <c r="A17" s="23" t="inlineStr">
        <is>
          <t>کولر آبی سلولزی 16000 ریتون مدل کولر پرتابل آبی مدل VENTO 16000</t>
        </is>
      </c>
      <c r="B17" s="24" t="n">
        <v>270000000</v>
      </c>
      <c r="C17" s="24">
        <f>IF(OR(ISBLANK(B17),B17=""),"",IF($L17="متغیر","⚠️ والد متغیر نباید قیمت داشته باشد",B17/10))</f>
        <v/>
      </c>
      <c r="D17" s="24" t="n">
        <v>270000000</v>
      </c>
      <c r="E17" s="44">
        <f>IF(OR(ISBLANK(B17),B17="",ISBLANK(D17),D17="",D17&lt;=0,$L17="متغیر"),"",(B17-D17)/D17)</f>
        <v/>
      </c>
      <c r="F17" s="24" t="n">
        <v>256500000</v>
      </c>
      <c r="G17" s="24">
        <f>IF(OR(ISBLANK(F17),F17=""),"",IF($L17="متغیر","",F17/10))</f>
        <v/>
      </c>
      <c r="H17" s="26" t="inlineStr">
        <is>
          <t>✓ موجود</t>
        </is>
      </c>
      <c r="I17" s="26" t="inlineStr">
        <is>
          <t>سرمایش و گرمایش</t>
        </is>
      </c>
      <c r="J17" s="26" t="inlineStr">
        <is>
          <t>سرمایش و گرمایش ریتون</t>
        </is>
      </c>
      <c r="K17" s="26" t="inlineStr">
        <is>
          <t>ریتون</t>
        </is>
      </c>
      <c r="L17" s="26" t="inlineStr">
        <is>
          <t>ساده</t>
        </is>
      </c>
      <c r="M17" s="26" t="n"/>
      <c r="N17" s="26" t="inlineStr">
        <is>
          <t>2538</t>
        </is>
      </c>
      <c r="O17" s="26" t="n"/>
      <c r="P17" s="33" t="inlineStr">
        <is>
          <t>https://hosseinykala.ir/?p=2538</t>
        </is>
      </c>
      <c r="Q17" s="26" t="n"/>
      <c r="R17" s="26" t="inlineStr">
        <is>
          <t>ثبت‌شده در سایت</t>
        </is>
      </c>
    </row>
    <row r="18" ht="21.95" customHeight="1" s="38">
      <c r="A18" s="39" t="inlineStr">
        <is>
          <t xml:space="preserve">  📂 سرمایش و گرمایش  ◀  سانی</t>
        </is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1" t="n"/>
    </row>
    <row r="19" ht="21" customHeight="1" s="38">
      <c r="A19" s="23" t="inlineStr">
        <is>
          <t>پنکه ایستاده ریموت‌دار سانی مدل DWS-2600</t>
        </is>
      </c>
      <c r="B19" s="24" t="n">
        <v>135000000</v>
      </c>
      <c r="C19" s="24">
        <f>IF(OR(ISBLANK(B19),B19=""),"",IF($L19="متغیر","⚠️ والد متغیر نباید قیمت داشته باشد",B19/10))</f>
        <v/>
      </c>
      <c r="D19" s="24" t="n">
        <v>135000000</v>
      </c>
      <c r="E19" s="44">
        <f>IF(OR(ISBLANK(B19),B19="",ISBLANK(D19),D19="",D19&lt;=0,$L19="متغیر"),"",(B19-D19)/D19)</f>
        <v/>
      </c>
      <c r="F19" s="24" t="n">
        <v>128250000</v>
      </c>
      <c r="G19" s="24">
        <f>IF(OR(ISBLANK(F19),F19=""),"",IF($L19="متغیر","",F19/10))</f>
        <v/>
      </c>
      <c r="H19" s="26" t="inlineStr">
        <is>
          <t>✓ موجود</t>
        </is>
      </c>
      <c r="I19" s="26" t="inlineStr">
        <is>
          <t>سرمایش و گرمایش</t>
        </is>
      </c>
      <c r="J19" s="26" t="inlineStr">
        <is>
          <t>سرمایش و گرمایش سانی</t>
        </is>
      </c>
      <c r="K19" s="26" t="inlineStr">
        <is>
          <t>سانی</t>
        </is>
      </c>
      <c r="L19" s="26" t="inlineStr">
        <is>
          <t>ساده</t>
        </is>
      </c>
      <c r="M19" s="26" t="n"/>
      <c r="N19" s="26" t="inlineStr">
        <is>
          <t>3540</t>
        </is>
      </c>
      <c r="O19" s="26" t="n"/>
      <c r="P19" s="33" t="inlineStr">
        <is>
          <t>https://hosseinykala.ir/?p=3540</t>
        </is>
      </c>
      <c r="Q19" s="26" t="n"/>
      <c r="R19" s="26" t="inlineStr">
        <is>
          <t>ثبت‌شده در سایت</t>
        </is>
      </c>
    </row>
    <row r="20" ht="21" customHeight="1" s="38">
      <c r="A20" s="23" t="inlineStr">
        <is>
          <t>پنکه سانی مدل 2013 ساده</t>
        </is>
      </c>
      <c r="B20" s="24" t="n"/>
      <c r="C20" s="24">
        <f>IF(OR(ISBLANK(B20),B20=""),"",IF($L20="متغیر","⚠️ والد متغیر نباید قیمت داشته باشد",B20/10))</f>
        <v/>
      </c>
      <c r="D20" s="24" t="n"/>
      <c r="E20" s="44">
        <f>IF(OR(ISBLANK(B20),B20="",ISBLANK(D20),D20="",D20&lt;=0,$L20="متغیر"),"",(B20-D20)/D20)</f>
        <v/>
      </c>
      <c r="F20" s="24" t="n"/>
      <c r="G20" s="24">
        <f>IF(OR(ISBLANK(F20),F20=""),"",IF($L20="متغیر","",F20/10))</f>
        <v/>
      </c>
      <c r="H20" s="26" t="inlineStr">
        <is>
          <t>✗ ناموجود</t>
        </is>
      </c>
      <c r="I20" s="26" t="inlineStr">
        <is>
          <t>سرمایش و گرمایش</t>
        </is>
      </c>
      <c r="J20" s="26" t="inlineStr">
        <is>
          <t>سرمایش و گرمایش سانی</t>
        </is>
      </c>
      <c r="K20" s="26" t="inlineStr">
        <is>
          <t>سانی</t>
        </is>
      </c>
      <c r="L20" s="26" t="inlineStr">
        <is>
          <t>ساده</t>
        </is>
      </c>
      <c r="M20" s="26" t="n"/>
      <c r="N20" s="26" t="n"/>
      <c r="O20" s="26" t="n"/>
      <c r="P20" s="33" t="n"/>
      <c r="Q20" s="26" t="n"/>
      <c r="R20" s="26" t="inlineStr">
        <is>
          <t>فعلا دست نگه دار</t>
        </is>
      </c>
    </row>
    <row r="21" ht="21.95" customHeight="1" s="38">
      <c r="A21" s="39" t="inlineStr">
        <is>
          <t xml:space="preserve">  📂 سرمایش و گرمایش  ◀  متفرقه</t>
        </is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</row>
    <row r="22" ht="21" customHeight="1" s="38">
      <c r="A22" s="23" t="inlineStr">
        <is>
          <t>کولر آبی مدل 4500</t>
        </is>
      </c>
      <c r="B22" s="24" t="n"/>
      <c r="C22" s="24">
        <f>IF(OR(ISBLANK(B22),B22=""),"",IF($L22="متغیر","⚠️ والد متغیر نباید قیمت داشته باشد",B22/10))</f>
        <v/>
      </c>
      <c r="D22" s="24" t="n"/>
      <c r="E22" s="44">
        <f>IF(OR(ISBLANK(B22),B22="",ISBLANK(D22),D22="",D22&lt;=0,$L22="متغیر"),"",(B22-D22)/D22)</f>
        <v/>
      </c>
      <c r="F22" s="24" t="n"/>
      <c r="G22" s="24">
        <f>IF(OR(ISBLANK(F22),F22=""),"",IF($L22="متغیر","",F22/10))</f>
        <v/>
      </c>
      <c r="H22" s="26" t="inlineStr">
        <is>
          <t>✗ ناموجود</t>
        </is>
      </c>
      <c r="I22" s="26" t="inlineStr">
        <is>
          <t>سرمایش و گرمایش</t>
        </is>
      </c>
      <c r="J22" s="26" t="inlineStr">
        <is>
          <t>سرمایش و گرمایش متفرقه</t>
        </is>
      </c>
      <c r="K22" s="26" t="inlineStr">
        <is>
          <t>متفرقه</t>
        </is>
      </c>
      <c r="L22" s="26" t="inlineStr">
        <is>
          <t>ساده</t>
        </is>
      </c>
      <c r="M22" s="26" t="n"/>
      <c r="N22" s="26" t="n"/>
      <c r="O22" s="26" t="n"/>
      <c r="P22" s="33" t="n"/>
      <c r="Q22" s="26" t="n"/>
      <c r="R22" s="26" t="inlineStr">
        <is>
          <t>فعلا دست نگه دار</t>
        </is>
      </c>
    </row>
    <row r="23" ht="21.95" customHeight="1" s="38">
      <c r="A23" s="39" t="inlineStr">
        <is>
          <t xml:space="preserve">  📂 سرمایش و گرمایش  ◀  پارس خزر</t>
        </is>
      </c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1" t="n"/>
    </row>
    <row r="24" ht="21" customHeight="1" s="38">
      <c r="A24" s="23" t="inlineStr">
        <is>
          <t>بخاری پارس خزر فن دار مدل FH-2000P</t>
        </is>
      </c>
      <c r="B24" s="24" t="n"/>
      <c r="C24" s="24">
        <f>IF(OR(ISBLANK(B24),B24=""),"",IF($L24="متغیر","⚠️ والد متغیر نباید قیمت داشته باشد",B24/10))</f>
        <v/>
      </c>
      <c r="D24" s="24" t="n"/>
      <c r="E24" s="44">
        <f>IF(OR(ISBLANK(B24),B24="",ISBLANK(D24),D24="",D24&lt;=0,$L24="متغیر"),"",(B24-D24)/D24)</f>
        <v/>
      </c>
      <c r="F24" s="24" t="n"/>
      <c r="G24" s="24">
        <f>IF(OR(ISBLANK(F24),F24=""),"",IF($L24="متغیر","",F24/10))</f>
        <v/>
      </c>
      <c r="H24" s="26" t="inlineStr">
        <is>
          <t>✗ ناموجود</t>
        </is>
      </c>
      <c r="I24" s="26" t="inlineStr">
        <is>
          <t>سرمایش و گرمایش</t>
        </is>
      </c>
      <c r="J24" s="26" t="inlineStr">
        <is>
          <t>سرمایش و گرمایش پارس خزر</t>
        </is>
      </c>
      <c r="K24" s="26" t="inlineStr">
        <is>
          <t>پارس خزر</t>
        </is>
      </c>
      <c r="L24" s="26" t="inlineStr">
        <is>
          <t>ساده</t>
        </is>
      </c>
      <c r="M24" s="26" t="n"/>
      <c r="N24" s="26" t="inlineStr">
        <is>
          <t>4141</t>
        </is>
      </c>
      <c r="O24" s="26" t="n"/>
      <c r="P24" s="33" t="inlineStr">
        <is>
          <t>https://hosseinykala.ir/product/parskhazar-fh2000p-fan-heater/</t>
        </is>
      </c>
      <c r="Q24" s="26" t="n"/>
      <c r="R24" s="26" t="inlineStr">
        <is>
          <t>ثبت‌شده در سایت</t>
        </is>
      </c>
    </row>
    <row r="25" ht="21" customHeight="1" s="38">
      <c r="A25" s="23" t="inlineStr">
        <is>
          <t>پنکه پایه بلند پارس خزر</t>
        </is>
      </c>
      <c r="B25" s="24" t="n">
        <v>110000000</v>
      </c>
      <c r="C25" s="24">
        <f>IF(OR(ISBLANK(B25),B25=""),"",IF($L25="متغیر","⚠️ والد متغیر نباید قیمت داشته باشد",B25/10))</f>
        <v/>
      </c>
      <c r="D25" s="24" t="n">
        <v>110000000</v>
      </c>
      <c r="E25" s="44">
        <f>IF(OR(ISBLANK(B25),B25="",ISBLANK(D25),D25="",D25&lt;=0,$L25="متغیر"),"",(B25-D25)/D25)</f>
        <v/>
      </c>
      <c r="F25" s="24" t="n">
        <v>104500000</v>
      </c>
      <c r="G25" s="24">
        <f>IF(OR(ISBLANK(F25),F25=""),"",IF($L25="متغیر","",F25/10))</f>
        <v/>
      </c>
      <c r="H25" s="26" t="inlineStr">
        <is>
          <t>✓ موجود</t>
        </is>
      </c>
      <c r="I25" s="26" t="inlineStr">
        <is>
          <t>سرمایش و گرمایش</t>
        </is>
      </c>
      <c r="J25" s="26" t="inlineStr">
        <is>
          <t>سرمایش و گرمایش پارس خزر</t>
        </is>
      </c>
      <c r="K25" s="26" t="inlineStr">
        <is>
          <t>پارس خزر</t>
        </is>
      </c>
      <c r="L25" s="26" t="inlineStr">
        <is>
          <t>ساده</t>
        </is>
      </c>
      <c r="M25" s="26" t="n"/>
      <c r="N25" s="26" t="inlineStr">
        <is>
          <t>4143</t>
        </is>
      </c>
      <c r="O25" s="26" t="n"/>
      <c r="P25" s="33" t="inlineStr">
        <is>
          <t>https://hosseinykala.ir/product/parskhazar-standing-pedestal-fan/</t>
        </is>
      </c>
      <c r="Q25" s="26" t="n"/>
      <c r="R25" s="26" t="inlineStr">
        <is>
          <t>ثبت‌شده در سایت</t>
        </is>
      </c>
    </row>
    <row r="26" ht="21.95" customHeight="1" s="38">
      <c r="A26" s="39" t="inlineStr">
        <is>
          <t xml:space="preserve">  📂 سرمایش و گرمایش  ◀  پاناسونیک</t>
        </is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1" t="n"/>
    </row>
    <row r="27" ht="21" customHeight="1" s="38">
      <c r="A27" s="23" t="inlineStr">
        <is>
          <t>پنکه پاناسونیک 2 حالته</t>
        </is>
      </c>
      <c r="B27" s="24" t="n"/>
      <c r="C27" s="24">
        <f>IF(OR(ISBLANK(B27),B27=""),"",IF($L27="متغیر","⚠️ والد متغیر نباید قیمت داشته باشد",B27/10))</f>
        <v/>
      </c>
      <c r="D27" s="24" t="n"/>
      <c r="E27" s="44">
        <f>IF(OR(ISBLANK(B27),B27="",ISBLANK(D27),D27="",D27&lt;=0,$L27="متغیر"),"",(B27-D27)/D27)</f>
        <v/>
      </c>
      <c r="F27" s="24" t="n"/>
      <c r="G27" s="24">
        <f>IF(OR(ISBLANK(F27),F27=""),"",IF($L27="متغیر","",F27/10))</f>
        <v/>
      </c>
      <c r="H27" s="26" t="inlineStr">
        <is>
          <t>✗ ناموجود</t>
        </is>
      </c>
      <c r="I27" s="26" t="inlineStr">
        <is>
          <t>سرمایش و گرمایش</t>
        </is>
      </c>
      <c r="J27" s="26" t="inlineStr">
        <is>
          <t>سرمایش و گرمایش پاناسونیک</t>
        </is>
      </c>
      <c r="K27" s="26" t="inlineStr">
        <is>
          <t>پاناسونیک</t>
        </is>
      </c>
      <c r="L27" s="26" t="inlineStr">
        <is>
          <t>ساده</t>
        </is>
      </c>
      <c r="M27" s="26" t="n"/>
      <c r="N27" s="26" t="inlineStr">
        <is>
          <t>4145</t>
        </is>
      </c>
      <c r="O27" s="26" t="n"/>
      <c r="P27" s="33" t="inlineStr">
        <is>
          <t>https://hosseinykala.ir/product/panasonic-2-in-1-fan/</t>
        </is>
      </c>
      <c r="Q27" s="26" t="n"/>
      <c r="R27" s="26" t="inlineStr">
        <is>
          <t>ثبت‌شده در سایت</t>
        </is>
      </c>
    </row>
    <row r="28" ht="21.95" customHeight="1" s="38">
      <c r="A28" s="39" t="inlineStr">
        <is>
          <t xml:space="preserve">  📂 سرمایش و گرمایش  ◀  پلار</t>
        </is>
      </c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1" t="n"/>
    </row>
    <row r="29" ht="21" customHeight="1" s="38">
      <c r="A29" s="23" t="inlineStr">
        <is>
          <t>بخاری پلار مدل 3PN-NEW ماشینی</t>
        </is>
      </c>
      <c r="B29" s="24" t="n"/>
      <c r="C29" s="24">
        <f>IF(OR(ISBLANK(B29),B29=""),"",IF($L29="متغیر","⚠️ والد متغیر نباید قیمت داشته باشد",B29/10))</f>
        <v/>
      </c>
      <c r="D29" s="24" t="n"/>
      <c r="E29" s="44">
        <f>IF(OR(ISBLANK(B29),B29="",ISBLANK(D29),D29="",D29&lt;=0,$L29="متغیر"),"",(B29-D29)/D29)</f>
        <v/>
      </c>
      <c r="F29" s="24" t="n"/>
      <c r="G29" s="24">
        <f>IF(OR(ISBLANK(F29),F29=""),"",IF($L29="متغیر","",F29/10))</f>
        <v/>
      </c>
      <c r="H29" s="26" t="inlineStr">
        <is>
          <t>✗ ناموجود</t>
        </is>
      </c>
      <c r="I29" s="26" t="inlineStr">
        <is>
          <t>سرمایش و گرمایش</t>
        </is>
      </c>
      <c r="J29" s="26" t="inlineStr">
        <is>
          <t>سرمایش و گرمایش پلار</t>
        </is>
      </c>
      <c r="K29" s="26" t="inlineStr">
        <is>
          <t>پلار</t>
        </is>
      </c>
      <c r="L29" s="26" t="inlineStr">
        <is>
          <t>ساده</t>
        </is>
      </c>
      <c r="M29" s="26" t="n"/>
      <c r="N29" s="26" t="inlineStr">
        <is>
          <t>4147</t>
        </is>
      </c>
      <c r="O29" s="26" t="n"/>
      <c r="P29" s="33" t="inlineStr">
        <is>
          <t>https://hosseinykala.ir/product/polar-3pn-new-gas-heater/</t>
        </is>
      </c>
      <c r="Q29" s="26" t="n"/>
      <c r="R29" s="26" t="inlineStr">
        <is>
          <t>ثبت‌شده در سایت</t>
        </is>
      </c>
    </row>
    <row r="30" ht="21" customHeight="1" s="38">
      <c r="A30" s="23" t="inlineStr">
        <is>
          <t>بخاری گازی پلار طرح سنگ بدون دودکش</t>
        </is>
      </c>
      <c r="B30" s="24" t="n"/>
      <c r="C30" s="24">
        <f>IF(OR(ISBLANK(B30),B30=""),"",IF($L30="متغیر","⚠️ والد متغیر نباید قیمت داشته باشد",B30/10))</f>
        <v/>
      </c>
      <c r="D30" s="24" t="n"/>
      <c r="E30" s="44">
        <f>IF(OR(ISBLANK(B30),B30="",ISBLANK(D30),D30="",D30&lt;=0,$L30="متغیر"),"",(B30-D30)/D30)</f>
        <v/>
      </c>
      <c r="F30" s="24" t="n"/>
      <c r="G30" s="24">
        <f>IF(OR(ISBLANK(F30),F30=""),"",IF($L30="متغیر","",F30/10))</f>
        <v/>
      </c>
      <c r="H30" s="26" t="inlineStr">
        <is>
          <t>✗ ناموجود</t>
        </is>
      </c>
      <c r="I30" s="26" t="inlineStr">
        <is>
          <t>سرمایش و گرمایش</t>
        </is>
      </c>
      <c r="J30" s="26" t="inlineStr">
        <is>
          <t>سرمایش و گرمایش پلار</t>
        </is>
      </c>
      <c r="K30" s="26" t="inlineStr">
        <is>
          <t>پلار</t>
        </is>
      </c>
      <c r="L30" s="26" t="inlineStr">
        <is>
          <t>ساده</t>
        </is>
      </c>
      <c r="M30" s="26" t="n"/>
      <c r="N30" s="26" t="n"/>
      <c r="O30" s="26" t="n"/>
      <c r="P30" s="33" t="n"/>
      <c r="Q30" s="26" t="n"/>
      <c r="R30" s="26" t="inlineStr">
        <is>
          <t>فعلا دست نگه دار</t>
        </is>
      </c>
    </row>
    <row r="31" ht="21.95" customHeight="1" s="38">
      <c r="A31" s="39" t="inlineStr">
        <is>
          <t xml:space="preserve">  📂 سرمایش و گرمایش  ◀  گلدن لوکس</t>
        </is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1" t="n"/>
    </row>
    <row r="32" ht="21" customHeight="1" s="38">
      <c r="A32" s="23" t="inlineStr">
        <is>
          <t>بخاری گلدن لوکس</t>
        </is>
      </c>
      <c r="B32" s="24" t="n">
        <v>100000000</v>
      </c>
      <c r="C32" s="24">
        <f>IF(OR(ISBLANK(B32),B32=""),"",IF($L32="متغیر","⚠️ والد متغیر نباید قیمت داشته باشد",B32/10))</f>
        <v/>
      </c>
      <c r="D32" s="24" t="n">
        <v>100000000</v>
      </c>
      <c r="E32" s="44">
        <f>IF(OR(ISBLANK(B32),B32="",ISBLANK(D32),D32="",D32&lt;=0,$L32="متغیر"),"",(B32-D32)/D32)</f>
        <v/>
      </c>
      <c r="F32" s="24" t="n">
        <v>95000000</v>
      </c>
      <c r="G32" s="24">
        <f>IF(OR(ISBLANK(F32),F32=""),"",IF($L32="متغیر","",F32/10))</f>
        <v/>
      </c>
      <c r="H32" s="26" t="inlineStr">
        <is>
          <t>✓ موجود</t>
        </is>
      </c>
      <c r="I32" s="26" t="inlineStr">
        <is>
          <t>سرمایش و گرمایش</t>
        </is>
      </c>
      <c r="J32" s="26" t="inlineStr">
        <is>
          <t>سرمایش و گرمایش گلدن لوکس</t>
        </is>
      </c>
      <c r="K32" s="26" t="inlineStr">
        <is>
          <t>گلدن لوکس</t>
        </is>
      </c>
      <c r="L32" s="26" t="inlineStr">
        <is>
          <t>ساده</t>
        </is>
      </c>
      <c r="M32" s="26" t="n"/>
      <c r="N32" s="26" t="inlineStr">
        <is>
          <t>4149</t>
        </is>
      </c>
      <c r="O32" s="26" t="n"/>
      <c r="P32" s="33" t="inlineStr">
        <is>
          <t>https://hosseinykala.ir/product/golden-luxe-gas-heater/</t>
        </is>
      </c>
      <c r="Q32" s="26" t="n"/>
      <c r="R32" s="26" t="inlineStr">
        <is>
          <t>ثبت‌شده در سایت</t>
        </is>
      </c>
    </row>
    <row r="33" ht="21.95" customHeight="1" s="38">
      <c r="A33" s="39" t="inlineStr">
        <is>
          <t xml:space="preserve">  📂 سرمایش و گرمایش  ◀  پاکشوما</t>
        </is>
      </c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1" t="n"/>
    </row>
    <row r="34" ht="21" customHeight="1" s="38">
      <c r="A34" s="23" t="inlineStr">
        <is>
          <t>کولر گازی اسپلیت دیواری 18000 دور ثابت پاکشوما مدل TPA-18CH</t>
        </is>
      </c>
      <c r="B34" s="24" t="n">
        <v>1482000000</v>
      </c>
      <c r="C34" s="24">
        <f>IF(OR(ISBLANK(B34),B34=""),"",IF($L34="متغیر","⚠️ والد متغیر نباید قیمت داشته باشد",B34/10))</f>
        <v/>
      </c>
      <c r="D34" s="24" t="n">
        <v>1482000000</v>
      </c>
      <c r="E34" s="44">
        <f>IF(OR(ISBLANK(B34),B34="",ISBLANK(D34),D34="",D34&lt;=0,$L34="متغیر"),"",(B34-D34)/D34)</f>
        <v/>
      </c>
      <c r="F34" s="24" t="n">
        <v>1407900000</v>
      </c>
      <c r="G34" s="24">
        <f>IF(OR(ISBLANK(F34),F34=""),"",IF($L34="متغیر","",F34/10))</f>
        <v/>
      </c>
      <c r="H34" s="26" t="inlineStr">
        <is>
          <t>✓ موجود</t>
        </is>
      </c>
      <c r="I34" s="26" t="inlineStr">
        <is>
          <t>سرمایش و گرمایش</t>
        </is>
      </c>
      <c r="J34" s="26" t="inlineStr">
        <is>
          <t>سرمایش و گرمایش پاکشوما</t>
        </is>
      </c>
      <c r="K34" s="26" t="inlineStr">
        <is>
          <t>پاکشوما</t>
        </is>
      </c>
      <c r="L34" s="26" t="inlineStr">
        <is>
          <t>ساده</t>
        </is>
      </c>
      <c r="M34" s="26" t="n"/>
      <c r="N34" s="26" t="inlineStr">
        <is>
          <t>3266</t>
        </is>
      </c>
      <c r="O34" s="26" t="n"/>
      <c r="P34" s="33" t="inlineStr">
        <is>
          <t>https://hosseinykala.ir/?p=3266</t>
        </is>
      </c>
      <c r="Q34" s="26" t="n"/>
      <c r="R34" s="26" t="inlineStr">
        <is>
          <t>ثبت‌شده در سایت</t>
        </is>
      </c>
    </row>
    <row r="35" ht="21.95" customHeight="1" s="38">
      <c r="A35" s="39" t="inlineStr">
        <is>
          <t xml:space="preserve">  📂 سرمایش و گرمایش  ◀  ایران شرق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1" t="n"/>
    </row>
    <row r="36" ht="21" customHeight="1" s="38">
      <c r="A36" s="23" t="inlineStr">
        <is>
          <t>آبگرمکن دیواری اتوماتیک ایران شرق</t>
        </is>
      </c>
      <c r="B36" s="24" t="n"/>
      <c r="C36" s="24">
        <f>IF(OR(ISBLANK(B36),B36=""),"",IF($L36="متغیر","⚠️ والد متغیر نباید قیمت داشته باشد",B36/10))</f>
        <v/>
      </c>
      <c r="D36" s="24" t="n"/>
      <c r="E36" s="44">
        <f>IF(OR(ISBLANK(B36),B36="",ISBLANK(D36),D36="",D36&lt;=0,$L36="متغیر"),"",(B36-D36)/D36)</f>
        <v/>
      </c>
      <c r="F36" s="24" t="n"/>
      <c r="G36" s="24">
        <f>IF(OR(ISBLANK(F36),F36=""),"",IF($L36="متغیر","",F36/10))</f>
        <v/>
      </c>
      <c r="H36" s="26" t="inlineStr">
        <is>
          <t>✓ موجود</t>
        </is>
      </c>
      <c r="I36" s="26" t="inlineStr">
        <is>
          <t>سرمایش و گرمایش</t>
        </is>
      </c>
      <c r="J36" s="26" t="inlineStr">
        <is>
          <t>سرمایش و گرمایش ایران شرق</t>
        </is>
      </c>
      <c r="K36" s="26" t="inlineStr">
        <is>
          <t>ایران شرق</t>
        </is>
      </c>
      <c r="L36" s="26" t="inlineStr">
        <is>
          <t>ساده</t>
        </is>
      </c>
      <c r="M36" s="26" t="n"/>
      <c r="N36" s="26" t="n"/>
      <c r="O36" s="26" t="n"/>
      <c r="P36" s="33" t="n"/>
      <c r="Q36" s="26" t="n"/>
      <c r="R36" s="26" t="inlineStr">
        <is>
          <t>فعلا دست نگه دار</t>
        </is>
      </c>
    </row>
    <row r="37" ht="21" customHeight="1" s="38">
      <c r="A37" s="23" t="inlineStr">
        <is>
          <t>آبگرمکن دیواری شمعک دار ایران شرق مدل 3020</t>
        </is>
      </c>
      <c r="B37" s="24" t="n">
        <v>270000000</v>
      </c>
      <c r="C37" s="24">
        <f>IF(OR(ISBLANK(B37),B37=""),"",IF($L37="متغیر","⚠️ والد متغیر نباید قیمت داشته باشد",B37/10))</f>
        <v/>
      </c>
      <c r="D37" s="24" t="n">
        <v>270000000</v>
      </c>
      <c r="E37" s="44">
        <f>IF(OR(ISBLANK(B37),B37="",ISBLANK(D37),D37="",D37&lt;=0,$L37="متغیر"),"",(B37-D37)/D37)</f>
        <v/>
      </c>
      <c r="F37" s="24" t="n">
        <v>256500000</v>
      </c>
      <c r="G37" s="24">
        <f>IF(OR(ISBLANK(F37),F37=""),"",IF($L37="متغیر","",F37/10))</f>
        <v/>
      </c>
      <c r="H37" s="26" t="inlineStr">
        <is>
          <t>✓ موجود</t>
        </is>
      </c>
      <c r="I37" s="26" t="inlineStr">
        <is>
          <t>سرمایش و گرمایش</t>
        </is>
      </c>
      <c r="J37" s="26" t="inlineStr">
        <is>
          <t>سرمایش و گرمایش ایران شرق</t>
        </is>
      </c>
      <c r="K37" s="26" t="inlineStr">
        <is>
          <t>ایران شرق</t>
        </is>
      </c>
      <c r="L37" s="26" t="inlineStr">
        <is>
          <t>ساده</t>
        </is>
      </c>
      <c r="M37" s="26" t="n"/>
      <c r="N37" s="26" t="n">
        <v>4239</v>
      </c>
      <c r="O37" s="26" t="n"/>
      <c r="P37" s="33" t="inlineStr">
        <is>
          <t>https://hosseinykala.ir/product/iran-shargh-3020-kiana-gas-water-heater/</t>
        </is>
      </c>
      <c r="Q37" s="26" t="n"/>
      <c r="R37" s="26" t="inlineStr">
        <is>
          <t>ثبت‌شده در سایت</t>
        </is>
      </c>
    </row>
    <row r="38" ht="21.95" customHeight="1" s="38">
      <c r="A38" s="39" t="inlineStr">
        <is>
          <t xml:space="preserve">  📂 سرمایش و گرمایش  ◀  آبسال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1" t="n"/>
    </row>
    <row r="39" ht="21" customHeight="1" s="38">
      <c r="A39" s="23" t="inlineStr">
        <is>
          <t>بخاری گازی کابینتی آبسال مدل 405</t>
        </is>
      </c>
      <c r="B39" s="24" t="n">
        <v>115000000</v>
      </c>
      <c r="C39" s="24">
        <f>IF(OR(ISBLANK(B39),B39=""),"",IF($L39="متغیر","⚠️ والد متغیر نباید قیمت داشته باشد",B39/10))</f>
        <v/>
      </c>
      <c r="D39" s="24" t="n">
        <v>115000000</v>
      </c>
      <c r="E39" s="44">
        <f>IF(OR(ISBLANK(B39),B39="",ISBLANK(D39),D39="",D39&lt;=0,$L39="متغیر"),"",(B39-D39)/D39)</f>
        <v/>
      </c>
      <c r="F39" s="24" t="n">
        <v>109250000</v>
      </c>
      <c r="G39" s="24">
        <f>IF(OR(ISBLANK(F39),F39=""),"",IF($L39="متغیر","",F39/10))</f>
        <v/>
      </c>
      <c r="H39" s="26" t="inlineStr">
        <is>
          <t>✓ موجود</t>
        </is>
      </c>
      <c r="I39" s="26" t="inlineStr">
        <is>
          <t>سرمایش و گرمایش</t>
        </is>
      </c>
      <c r="J39" s="26" t="inlineStr">
        <is>
          <t>سرمایش و گرمایش آبسال</t>
        </is>
      </c>
      <c r="K39" s="26" t="inlineStr">
        <is>
          <t>آبسال</t>
        </is>
      </c>
      <c r="L39" s="26" t="inlineStr">
        <is>
          <t>ساده</t>
        </is>
      </c>
      <c r="M39" s="26" t="n"/>
      <c r="N39" s="26" t="n">
        <v>4241</v>
      </c>
      <c r="O39" s="26" t="n"/>
      <c r="P39" s="33" t="inlineStr">
        <is>
          <t>https://hosseinykala.ir/product/absal-405-flueless-radiant-gas-heater/</t>
        </is>
      </c>
      <c r="Q39" s="26" t="n"/>
      <c r="R39" s="26" t="inlineStr">
        <is>
          <t>ثبت‌شده در سایت</t>
        </is>
      </c>
    </row>
  </sheetData>
  <autoFilter ref="A1:R1"/>
  <mergeCells count="16">
    <mergeCell ref="A26:R26"/>
    <mergeCell ref="A21:R21"/>
    <mergeCell ref="A15:R15"/>
    <mergeCell ref="A38:R38"/>
    <mergeCell ref="A2:R2"/>
    <mergeCell ref="A33:R33"/>
    <mergeCell ref="A10:R10"/>
    <mergeCell ref="A28:R28"/>
    <mergeCell ref="A13:R13"/>
    <mergeCell ref="A23:R23"/>
    <mergeCell ref="A35:R35"/>
    <mergeCell ref="A8:R8"/>
    <mergeCell ref="A6:R6"/>
    <mergeCell ref="A31:R31"/>
    <mergeCell ref="A18:R18"/>
    <mergeCell ref="A4:R4"/>
  </mergeCells>
  <conditionalFormatting sqref="A2:R3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3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39">
    <cfRule type="expression" priority="6" dxfId="3" stopIfTrue="1">
      <formula>AND(ISNUMBER($B2), ISNUMBER($D2), $D2&gt;0, ABS(($B2-$D2)/$D2)&gt;=0.5, $L2&lt;&gt;"متغیر")</formula>
    </cfRule>
  </conditionalFormatting>
  <conditionalFormatting sqref="F2:F39">
    <cfRule type="expression" priority="4" dxfId="2" stopIfTrue="1">
      <formula>AND($L2="متغیر", OR(ISNUMBER(B2), ISNUMBER(F2)))</formula>
    </cfRule>
  </conditionalFormatting>
  <conditionalFormatting sqref="H2:H3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3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3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rightToLeft="1" workbookViewId="0">
      <pane ySplit="1" topLeftCell="A11" activePane="bottomLeft" state="frozen"/>
      <selection pane="bottomLeft" activeCell="B9" sqref="B9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تصفیه کننده آب  ◀  افترون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آبسردکن افترون مدل AFWD-5700</t>
        </is>
      </c>
      <c r="B3" s="24" t="n">
        <v>403000000</v>
      </c>
      <c r="C3" s="24">
        <f>IF(OR(ISBLANK(B3),B3=""),"",IF($L3="متغیر","⚠️ والد متغیر نباید قیمت داشته باشد",B3/10))</f>
        <v/>
      </c>
      <c r="D3" s="24" t="n">
        <v>403000000</v>
      </c>
      <c r="E3" s="44">
        <f>IF(OR(ISBLANK(B3),B3="",ISBLANK(D3),D3="",D3&lt;=0,$L3="متغیر"),"",(B3-D3)/D3)</f>
        <v/>
      </c>
      <c r="F3" s="24" t="n">
        <v>382850000</v>
      </c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تصفیه کننده آب</t>
        </is>
      </c>
      <c r="J3" s="26" t="inlineStr">
        <is>
          <t>تصفیه کننده آب افترون</t>
        </is>
      </c>
      <c r="K3" s="26" t="inlineStr">
        <is>
          <t>افترون</t>
        </is>
      </c>
      <c r="L3" s="26" t="inlineStr">
        <is>
          <t>ساده</t>
        </is>
      </c>
      <c r="M3" s="26" t="n"/>
      <c r="N3" s="26" t="inlineStr">
        <is>
          <t>3301</t>
        </is>
      </c>
      <c r="O3" s="26" t="n"/>
      <c r="P3" s="33" t="inlineStr">
        <is>
          <t>https://hosseinykala.ir/?p=3301</t>
        </is>
      </c>
      <c r="Q3" s="26" t="n"/>
      <c r="R3" s="26" t="inlineStr">
        <is>
          <t>ثبت‌شده در سایت</t>
        </is>
      </c>
    </row>
    <row r="4" ht="21.95" customHeight="1" s="38">
      <c r="A4" s="39" t="inlineStr">
        <is>
          <t xml:space="preserve">  📂 تصفیه کننده آب  ◀  سافت واتر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دستگاه تصفیه کننده آب سافت واتر مدل IR-06</t>
        </is>
      </c>
      <c r="B5" s="24" t="n">
        <v>208000000</v>
      </c>
      <c r="C5" s="24">
        <f>IF(OR(ISBLANK(B5),B5=""),"",IF($L5="متغیر","⚠️ والد متغیر نباید قیمت داشته باشد",B5/10))</f>
        <v/>
      </c>
      <c r="D5" s="24" t="n">
        <v>208000000</v>
      </c>
      <c r="E5" s="44">
        <f>IF(OR(ISBLANK(B5),B5="",ISBLANK(D5),D5="",D5&lt;=0,$L5="متغیر"),"",(B5-D5)/D5)</f>
        <v/>
      </c>
      <c r="F5" s="24" t="n">
        <v>197600000</v>
      </c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تصفیه کننده آب</t>
        </is>
      </c>
      <c r="J5" s="26" t="inlineStr">
        <is>
          <t>تصفیه کننده آب سافت واتر</t>
        </is>
      </c>
      <c r="K5" s="26" t="inlineStr">
        <is>
          <t>سافت واتر</t>
        </is>
      </c>
      <c r="L5" s="26" t="inlineStr">
        <is>
          <t>ساده</t>
        </is>
      </c>
      <c r="M5" s="26" t="n"/>
      <c r="N5" s="26" t="inlineStr">
        <is>
          <t>2766</t>
        </is>
      </c>
      <c r="O5" s="26" t="n"/>
      <c r="P5" s="33" t="inlineStr">
        <is>
          <t>https://hosseinykala.ir/?p=2766</t>
        </is>
      </c>
      <c r="Q5" s="26" t="n"/>
      <c r="R5" s="26" t="inlineStr">
        <is>
          <t>ثبت‌شده در سایت</t>
        </is>
      </c>
    </row>
    <row r="6" ht="21.95" customHeight="1" s="38">
      <c r="A6" s="39" t="inlineStr">
        <is>
          <t xml:space="preserve">  📂 تصفیه کننده آب  ◀  سی سی کا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دستگاه تصفیه آب خانگی سی سی کا مدل RO-13</t>
        </is>
      </c>
      <c r="B7" s="24" t="n">
        <v>250000000</v>
      </c>
      <c r="C7" s="24">
        <f>IF(OR(ISBLANK(B7),B7=""),"",IF($L7="متغیر","⚠️ والد متغیر نباید قیمت داشته باشد",B7/10))</f>
        <v/>
      </c>
      <c r="D7" s="24" t="n">
        <v>184600000</v>
      </c>
      <c r="E7" s="44">
        <f>IF(OR(ISBLANK(B7),B7="",ISBLANK(D7),D7="",D7&lt;=0,$L7="متغیر"),"",(B7-D7)/D7)</f>
        <v/>
      </c>
      <c r="F7" s="24" t="n">
        <v>175370000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تصفیه کننده آب</t>
        </is>
      </c>
      <c r="J7" s="26" t="inlineStr">
        <is>
          <t>تصفیه کننده آب سی سی کا</t>
        </is>
      </c>
      <c r="K7" s="26" t="inlineStr">
        <is>
          <t>سی سی کا</t>
        </is>
      </c>
      <c r="L7" s="26" t="inlineStr">
        <is>
          <t>ساده</t>
        </is>
      </c>
      <c r="M7" s="26" t="n"/>
      <c r="N7" s="26" t="inlineStr">
        <is>
          <t>3305</t>
        </is>
      </c>
      <c r="O7" s="26" t="n"/>
      <c r="P7" s="33" t="inlineStr">
        <is>
          <t>https://hosseinykala.ir/?p=3305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 xml:space="preserve">  📂 تصفیه کننده آب  ◀  نیکایی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آبسردکن ایستاده نیکایی مدل NWD_1400R یخچال دار</t>
        </is>
      </c>
      <c r="B9" s="24" t="n">
        <v>565500000</v>
      </c>
      <c r="C9" s="24">
        <f>IF(OR(ISBLANK(B9),B9=""),"",IF($L9="متغیر","⚠️ والد متغیر نباید قیمت داشته باشد",B9/10))</f>
        <v/>
      </c>
      <c r="D9" s="24" t="n">
        <v>565500000</v>
      </c>
      <c r="E9" s="44">
        <f>IF(OR(ISBLANK(B9),B9="",ISBLANK(D9),D9="",D9&lt;=0,$L9="متغیر"),"",(B9-D9)/D9)</f>
        <v/>
      </c>
      <c r="F9" s="24" t="n">
        <v>537225000</v>
      </c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تصفیه کننده آب</t>
        </is>
      </c>
      <c r="J9" s="26" t="inlineStr">
        <is>
          <t>تصفیه کننده آب نیکایی</t>
        </is>
      </c>
      <c r="K9" s="26" t="inlineStr">
        <is>
          <t>نیکایی</t>
        </is>
      </c>
      <c r="L9" s="26" t="inlineStr">
        <is>
          <t>ساده</t>
        </is>
      </c>
      <c r="M9" s="26" t="n"/>
      <c r="N9" s="26" t="inlineStr">
        <is>
          <t>3312</t>
        </is>
      </c>
      <c r="O9" s="26" t="n"/>
      <c r="P9" s="33" t="inlineStr">
        <is>
          <t>https://hosseinykala.ir/?p=3312</t>
        </is>
      </c>
      <c r="Q9" s="26" t="n"/>
      <c r="R9" s="26" t="inlineStr">
        <is>
          <t>ثبت‌شده در سایت</t>
        </is>
      </c>
    </row>
    <row r="10" ht="21.95" customHeight="1" s="38">
      <c r="A10" s="39" t="inlineStr">
        <is>
          <t xml:space="preserve">  📂 تصفیه کننده آب  ◀  هانو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1" t="n"/>
    </row>
    <row r="11" ht="21" customHeight="1" s="38">
      <c r="A11" s="23" t="inlineStr">
        <is>
          <t>آبسردکن هانو</t>
        </is>
      </c>
      <c r="B11" s="24" t="n"/>
      <c r="C11" s="24">
        <f>IF(OR(ISBLANK(B11),B11=""),"",IF($L11="متغیر","⚠️ والد متغیر نباید قیمت داشته باشد",B11/10))</f>
        <v/>
      </c>
      <c r="D11" s="24" t="n"/>
      <c r="E11" s="44">
        <f>IF(OR(ISBLANK(B11),B11="",ISBLANK(D11),D11="",D11&lt;=0,$L11="متغیر"),"",(B11-D11)/D11)</f>
        <v/>
      </c>
      <c r="F11" s="24" t="n"/>
      <c r="G11" s="24">
        <f>IF(OR(ISBLANK(F11),F11=""),"",IF($L11="متغیر","",F11/10))</f>
        <v/>
      </c>
      <c r="H11" s="26" t="inlineStr">
        <is>
          <t>✗ ناموجود</t>
        </is>
      </c>
      <c r="I11" s="26" t="inlineStr">
        <is>
          <t>تصفیه کننده آب</t>
        </is>
      </c>
      <c r="J11" s="26" t="inlineStr">
        <is>
          <t>تصفیه کننده آب هانو</t>
        </is>
      </c>
      <c r="K11" s="26" t="inlineStr">
        <is>
          <t>هانو</t>
        </is>
      </c>
      <c r="L11" s="26" t="inlineStr">
        <is>
          <t>ساده</t>
        </is>
      </c>
      <c r="M11" s="26" t="n"/>
      <c r="N11" s="26" t="n"/>
      <c r="O11" s="26" t="n"/>
      <c r="P11" s="33" t="n"/>
      <c r="Q11" s="26" t="n"/>
      <c r="R11" s="26" t="inlineStr">
        <is>
          <t>فعلا دست نگه دار</t>
        </is>
      </c>
    </row>
    <row r="12" ht="21.95" customHeight="1" s="38">
      <c r="A12" s="39" t="inlineStr">
        <is>
          <t xml:space="preserve">  📂 تصفیه کننده آب  ◀  هومگلد</t>
        </is>
      </c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1" t="n"/>
    </row>
    <row r="13" ht="21" customHeight="1" s="38">
      <c r="A13" s="23" t="inlineStr">
        <is>
          <t>دستگاه تصفیه آب خانگی ۶ مرحله‌ای هومگلد مدل RO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26" t="inlineStr">
        <is>
          <t>✗ ناموجود</t>
        </is>
      </c>
      <c r="I13" s="26" t="inlineStr">
        <is>
          <t>تصفیه کننده آب</t>
        </is>
      </c>
      <c r="J13" s="26" t="inlineStr">
        <is>
          <t>تصفیه کننده آب هومگلد</t>
        </is>
      </c>
      <c r="K13" s="26" t="inlineStr">
        <is>
          <t>هومگلد</t>
        </is>
      </c>
      <c r="L13" s="26" t="inlineStr">
        <is>
          <t>ساده</t>
        </is>
      </c>
      <c r="M13" s="26" t="n"/>
      <c r="N13" s="26" t="inlineStr">
        <is>
          <t>3504</t>
        </is>
      </c>
      <c r="O13" s="26" t="n"/>
      <c r="P13" s="33" t="inlineStr">
        <is>
          <t>https://hosseinykala.ir/?p=3504</t>
        </is>
      </c>
      <c r="Q13" s="26" t="n"/>
      <c r="R13" s="26" t="inlineStr">
        <is>
          <t>ثبت‌شده در سایت</t>
        </is>
      </c>
    </row>
    <row r="14" ht="21.95" customHeight="1" s="38">
      <c r="A14" s="39" t="inlineStr">
        <is>
          <t xml:space="preserve">  📂 تصفیه کننده آب  ◀  وست واتر</t>
        </is>
      </c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1" t="n"/>
    </row>
    <row r="15" ht="21" customHeight="1" s="38">
      <c r="A15" s="23" t="inlineStr">
        <is>
          <t>دستگاه تصفیه آب خانگی وست واتر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تصفیه کننده آب</t>
        </is>
      </c>
      <c r="J15" s="26" t="inlineStr">
        <is>
          <t>تصفیه کننده آب وست واتر</t>
        </is>
      </c>
      <c r="K15" s="26" t="inlineStr">
        <is>
          <t>وست واتر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</sheetData>
  <autoFilter ref="A1:R1"/>
  <mergeCells count="7">
    <mergeCell ref="A2:R2"/>
    <mergeCell ref="A10:R10"/>
    <mergeCell ref="A14:R14"/>
    <mergeCell ref="A8:R8"/>
    <mergeCell ref="A6:R6"/>
    <mergeCell ref="A12:R12"/>
    <mergeCell ref="A4:R4"/>
  </mergeCells>
  <conditionalFormatting sqref="A2:R15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5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5">
    <cfRule type="expression" priority="6" dxfId="3" stopIfTrue="1">
      <formula>AND(ISNUMBER($B2), ISNUMBER($D2), $D2&gt;0, ABS(($B2-$D2)/$D2)&gt;=0.5, $L2&lt;&gt;"متغیر")</formula>
    </cfRule>
  </conditionalFormatting>
  <conditionalFormatting sqref="F2:F15">
    <cfRule type="expression" priority="4" dxfId="2" stopIfTrue="1">
      <formula>AND($L2="متغیر", OR(ISNUMBER(B2), ISNUMBER(F2)))</formula>
    </cfRule>
  </conditionalFormatting>
  <conditionalFormatting sqref="H2:H15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5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5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rightToLeft="1" workbookViewId="0">
      <pane ySplit="1" topLeftCell="A2" activePane="bottomLeft" state="frozen"/>
      <selection pane="bottomLeft" activeCell="F11" sqref="F11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صوتی و تصویری  ◀  هاورسن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تلویزیون ال ای دی ۸۵ اینچ هوشمند 4K اسمارت هاورسن مدل Ultra HD</t>
        </is>
      </c>
      <c r="B3" s="24" t="n">
        <v>2800000000</v>
      </c>
      <c r="C3" s="24">
        <f>IF(OR(ISBLANK(B3),B3=""),"",IF($L3="متغیر","⚠️ والد متغیر نباید قیمت داشته باشد",B3/10))</f>
        <v/>
      </c>
      <c r="D3" s="24" t="n">
        <v>2800000000</v>
      </c>
      <c r="E3" s="44">
        <f>IF(OR(ISBLANK(B3),B3="",ISBLANK(D3),D3="",D3&lt;=0,$L3="متغیر"),"",(B3-D3)/D3)</f>
        <v/>
      </c>
      <c r="F3" s="24" t="n">
        <v>2660000000</v>
      </c>
      <c r="G3" s="24">
        <f>IF(OR(ISBLANK(F3),F3=""),"",IF($L3="متغیر","",F3/10))</f>
        <v/>
      </c>
      <c r="H3" s="26" t="inlineStr">
        <is>
          <t>✓ موجود</t>
        </is>
      </c>
      <c r="I3" s="26" t="inlineStr">
        <is>
          <t>صوتی و تصویری</t>
        </is>
      </c>
      <c r="J3" s="26" t="inlineStr">
        <is>
          <t>صوتی و تصویری هاورسن</t>
        </is>
      </c>
      <c r="K3" s="26" t="inlineStr">
        <is>
          <t>هاورسن</t>
        </is>
      </c>
      <c r="L3" s="26" t="inlineStr">
        <is>
          <t>ساده</t>
        </is>
      </c>
      <c r="M3" s="26" t="n"/>
      <c r="N3" s="26" t="inlineStr">
        <is>
          <t>3534</t>
        </is>
      </c>
      <c r="O3" s="26" t="n"/>
      <c r="P3" s="33" t="inlineStr">
        <is>
          <t>https://hosseinykala.ir/product/haverson-85-inch-4k-smart-tv/</t>
        </is>
      </c>
      <c r="Q3" s="26" t="n"/>
      <c r="R3" s="26" t="inlineStr">
        <is>
          <t>ثبت‌شده در سایت</t>
        </is>
      </c>
    </row>
    <row r="4" ht="21" customHeight="1" s="38">
      <c r="A4" s="23" t="inlineStr">
        <is>
          <t>تلویزیون ال ای دی ۷۵ اینچ هوشمند 4K هاورسن مدل Cinema HDR</t>
        </is>
      </c>
      <c r="B4" s="24" t="n">
        <v>2600000000</v>
      </c>
      <c r="C4" s="24">
        <f>IF(OR(ISBLANK(B4),B4=""),"",IF($L4="متغیر","⚠️ والد متغیر نباید قیمت داشته باشد",B4/10))</f>
        <v/>
      </c>
      <c r="D4" s="24" t="n">
        <v>2600000000</v>
      </c>
      <c r="E4" s="44">
        <f>IF(OR(ISBLANK(B4),B4="",ISBLANK(D4),D4="",D4&lt;=0,$L4="متغیر"),"",(B4-D4)/D4)</f>
        <v/>
      </c>
      <c r="F4" s="24" t="n">
        <v>2470000000</v>
      </c>
      <c r="G4" s="24">
        <f>IF(OR(ISBLANK(F4),F4=""),"",IF($L4="متغیر","",F4/10))</f>
        <v/>
      </c>
      <c r="H4" s="26" t="inlineStr">
        <is>
          <t>✓ موجود</t>
        </is>
      </c>
      <c r="I4" s="26" t="inlineStr">
        <is>
          <t>صوتی و تصویری</t>
        </is>
      </c>
      <c r="J4" s="26" t="inlineStr">
        <is>
          <t>صوتی و تصویری هاورسن</t>
        </is>
      </c>
      <c r="K4" s="26" t="inlineStr">
        <is>
          <t>هاورسن</t>
        </is>
      </c>
      <c r="L4" s="26" t="inlineStr">
        <is>
          <t>ساده</t>
        </is>
      </c>
      <c r="M4" s="26" t="n"/>
      <c r="N4" s="26" t="inlineStr">
        <is>
          <t>3531</t>
        </is>
      </c>
      <c r="O4" s="26" t="n"/>
      <c r="P4" s="33" t="inlineStr">
        <is>
          <t>https://hosseinykala.ir/?p=3531</t>
        </is>
      </c>
      <c r="Q4" s="26" t="n"/>
      <c r="R4" s="26" t="inlineStr">
        <is>
          <t>ثبت‌شده در سایت</t>
        </is>
      </c>
    </row>
    <row r="5" ht="21" customHeight="1" s="38">
      <c r="A5" s="23" t="inlineStr">
        <is>
          <t>تلویزیون ال ای دی ۶۵ اینچ هوشمند 4K هاورسن مدل Frameless IPS</t>
        </is>
      </c>
      <c r="B5" s="24" t="n">
        <v>1755000000</v>
      </c>
      <c r="C5" s="24">
        <f>IF(OR(ISBLANK(B5),B5=""),"",IF($L5="متغیر","⚠️ والد متغیر نباید قیمت داشته باشد",B5/10))</f>
        <v/>
      </c>
      <c r="D5" s="24" t="n">
        <v>1755000000</v>
      </c>
      <c r="E5" s="44">
        <f>IF(OR(ISBLANK(B5),B5="",ISBLANK(D5),D5="",D5&lt;=0,$L5="متغیر"),"",(B5-D5)/D5)</f>
        <v/>
      </c>
      <c r="F5" s="24" t="n">
        <v>1667250000</v>
      </c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صوتی و تصویری</t>
        </is>
      </c>
      <c r="J5" s="26" t="inlineStr">
        <is>
          <t>صوتی و تصویری هاورسن</t>
        </is>
      </c>
      <c r="K5" s="26" t="inlineStr">
        <is>
          <t>هاورسن</t>
        </is>
      </c>
      <c r="L5" s="26" t="inlineStr">
        <is>
          <t>ساده</t>
        </is>
      </c>
      <c r="M5" s="26" t="n"/>
      <c r="N5" s="26" t="inlineStr">
        <is>
          <t>3523</t>
        </is>
      </c>
      <c r="O5" s="26" t="n"/>
      <c r="P5" s="33" t="inlineStr">
        <is>
          <t>https://hosseinykala.ir/?p=3523</t>
        </is>
      </c>
      <c r="Q5" s="26" t="n"/>
      <c r="R5" s="26" t="inlineStr">
        <is>
          <t>ثبت‌شده در سایت</t>
        </is>
      </c>
    </row>
    <row r="6" ht="21" customHeight="1" s="38">
      <c r="A6" s="23" t="inlineStr">
        <is>
          <t>تلویزیون ال ای دی ۵۵ اینچ هوشمند 4K هاورسن مدل Smart Android</t>
        </is>
      </c>
      <c r="B6" s="24" t="n"/>
      <c r="C6" s="24">
        <f>IF(OR(ISBLANK(B6),B6=""),"",IF($L6="متغیر","⚠️ والد متغیر نباید قیمت داشته باشد",B6/10))</f>
        <v/>
      </c>
      <c r="D6" s="24" t="n"/>
      <c r="E6" s="44">
        <f>IF(OR(ISBLANK(B6),B6="",ISBLANK(D6),D6="",D6&lt;=0,$L6="متغیر"),"",(B6-D6)/D6)</f>
        <v/>
      </c>
      <c r="F6" s="24" t="n"/>
      <c r="G6" s="24">
        <f>IF(OR(ISBLANK(F6),F6=""),"",IF($L6="متغیر","",F6/10))</f>
        <v/>
      </c>
      <c r="H6" s="26" t="inlineStr">
        <is>
          <t>✗ ناموجود</t>
        </is>
      </c>
      <c r="I6" s="26" t="inlineStr">
        <is>
          <t>صوتی و تصویری</t>
        </is>
      </c>
      <c r="J6" s="26" t="inlineStr">
        <is>
          <t>صوتی و تصویری هاورسن</t>
        </is>
      </c>
      <c r="K6" s="26" t="inlineStr">
        <is>
          <t>هاورسن</t>
        </is>
      </c>
      <c r="L6" s="26" t="inlineStr">
        <is>
          <t>ساده</t>
        </is>
      </c>
      <c r="M6" s="26" t="n"/>
      <c r="N6" s="26" t="inlineStr">
        <is>
          <t>3520</t>
        </is>
      </c>
      <c r="O6" s="26" t="n"/>
      <c r="P6" s="33" t="inlineStr">
        <is>
          <t>https://hosseinykala.ir/?p=3520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تلویزیون ال ای دی ۳۲ اینچ هاورسن مدل HD</t>
        </is>
      </c>
      <c r="B7" s="24" t="n">
        <v>450000000</v>
      </c>
      <c r="C7" s="24">
        <f>IF(OR(ISBLANK(B7),B7=""),"",IF($L7="متغیر","⚠️ والد متغیر نباید قیمت داشته باشد",B7/10))</f>
        <v/>
      </c>
      <c r="D7" s="24" t="n">
        <v>450000000</v>
      </c>
      <c r="E7" s="44">
        <f>IF(OR(ISBLANK(B7),B7="",ISBLANK(D7),D7="",D7&lt;=0,$L7="متغیر"),"",(B7-D7)/D7)</f>
        <v/>
      </c>
      <c r="F7" s="24" t="n">
        <v>427500000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صوتی و تصویری</t>
        </is>
      </c>
      <c r="J7" s="26" t="inlineStr">
        <is>
          <t>صوتی و تصویری هاورسن</t>
        </is>
      </c>
      <c r="K7" s="26" t="inlineStr">
        <is>
          <t>هاورسن</t>
        </is>
      </c>
      <c r="L7" s="26" t="inlineStr">
        <is>
          <t>ساده</t>
        </is>
      </c>
      <c r="M7" s="26" t="n"/>
      <c r="N7" s="26" t="inlineStr">
        <is>
          <t>3516</t>
        </is>
      </c>
      <c r="O7" s="26" t="n"/>
      <c r="P7" s="33" t="inlineStr">
        <is>
          <t>https://hosseinykala.ir/product/haverson-32-inch-hd-led-tv/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 xml:space="preserve">  📂 صوتی و تصویری  ◀  دوو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تلویزیون ال ای دی ۵۵ اینچ هوشمند دوو مدل 7000</t>
        </is>
      </c>
      <c r="B9" s="24" t="n"/>
      <c r="C9" s="24">
        <f>IF(OR(ISBLANK(B9),B9=""),"",IF($L9="متغیر","⚠️ والد متغیر نباید قیمت داشته باشد",B9/10))</f>
        <v/>
      </c>
      <c r="D9" s="24" t="n"/>
      <c r="E9" s="44">
        <f>IF(OR(ISBLANK(B9),B9="",ISBLANK(D9),D9="",D9&lt;=0,$L9="متغیر"),"",(B9-D9)/D9)</f>
        <v/>
      </c>
      <c r="F9" s="24" t="n"/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صوتی و تصویری</t>
        </is>
      </c>
      <c r="J9" s="26" t="inlineStr">
        <is>
          <t>صوتی و تصویری دوو</t>
        </is>
      </c>
      <c r="K9" s="26" t="inlineStr">
        <is>
          <t>دوو</t>
        </is>
      </c>
      <c r="L9" s="26" t="inlineStr">
        <is>
          <t>ساده</t>
        </is>
      </c>
      <c r="M9" s="26" t="n"/>
      <c r="N9" s="26" t="n">
        <v>4237</v>
      </c>
      <c r="O9" s="26" t="n"/>
      <c r="P9" s="33" t="inlineStr">
        <is>
          <t>https://hosseinykala.ir/product/daewoo-dsl55-s7000eum-55inch-smart-4k-tv/</t>
        </is>
      </c>
      <c r="Q9" s="26" t="n"/>
      <c r="R9" s="26" t="inlineStr">
        <is>
          <t>ثبت‌شده در سایت</t>
        </is>
      </c>
    </row>
  </sheetData>
  <autoFilter ref="A1:R1"/>
  <mergeCells count="2">
    <mergeCell ref="A8:R8"/>
    <mergeCell ref="A2:R2"/>
  </mergeCells>
  <conditionalFormatting sqref="A2:R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9">
    <cfRule type="expression" priority="6" dxfId="3" stopIfTrue="1">
      <formula>AND(ISNUMBER($B2), ISNUMBER($D2), $D2&gt;0, ABS(($B2-$D2)/$D2)&gt;=0.5, $L2&lt;&gt;"متغیر")</formula>
    </cfRule>
  </conditionalFormatting>
  <conditionalFormatting sqref="F2:F9">
    <cfRule type="expression" priority="4" dxfId="2" stopIfTrue="1">
      <formula>AND($L2="متغیر", OR(ISNUMBER(B2), ISNUMBER(F2)))</formula>
    </cfRule>
  </conditionalFormatting>
  <conditionalFormatting sqref="H2:H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"/>
  <sheetViews>
    <sheetView rightToLeft="1" tabSelected="1" workbookViewId="0">
      <pane ySplit="1" topLeftCell="A17" activePane="bottomLeft" state="frozen"/>
      <selection pane="bottomLeft" activeCell="A30" sqref="A30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زیبایی و سلامت فردی  ◀  امگا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سشوار خانگی امگا 2000 وات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زیبایی و سلامت فردی</t>
        </is>
      </c>
      <c r="J3" s="26" t="inlineStr">
        <is>
          <t>زیبایی و سلامت فردی امگا</t>
        </is>
      </c>
      <c r="K3" s="26" t="inlineStr">
        <is>
          <t>امگا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.95" customHeight="1" s="38">
      <c r="A4" s="39" t="inlineStr">
        <is>
          <t xml:space="preserve">  📂 زیبایی و سلامت فردی  ◀  بای بابلیس نانو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اتو مو باریک سرامیکی baby3383a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زیبایی و سلامت فردی</t>
        </is>
      </c>
      <c r="J5" s="26" t="inlineStr">
        <is>
          <t>زیبایی و سلامت فردی بای بابلیس نانو</t>
        </is>
      </c>
      <c r="K5" s="26" t="inlineStr">
        <is>
          <t>بای بابلیس نانو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زیبایی و سلامت فردی  ◀  پاناسونیک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اتو مو مسافرتی پاناسونیک مدل HV11</t>
        </is>
      </c>
      <c r="B7" s="24" t="n">
        <v>27000000</v>
      </c>
      <c r="C7" s="24">
        <f>IF(OR(ISBLANK(B7),B7=""),"",IF($L7="متغیر","⚠️ والد متغیر نباید قیمت داشته باشد",B7/10))</f>
        <v/>
      </c>
      <c r="D7" s="24" t="n">
        <v>27000000</v>
      </c>
      <c r="E7" s="44">
        <f>IF(OR(ISBLANK(B7),B7="",ISBLANK(D7),D7="",D7&lt;=0,$L7="متغیر"),"",(B7-D7)/D7)</f>
        <v/>
      </c>
      <c r="F7" s="24" t="n">
        <v>25650000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زیبایی و سلامت فردی</t>
        </is>
      </c>
      <c r="J7" s="26" t="inlineStr">
        <is>
          <t>زیبایی و سلامت فردی پاناسونیک</t>
        </is>
      </c>
      <c r="K7" s="26" t="inlineStr">
        <is>
          <t>پاناسونیک</t>
        </is>
      </c>
      <c r="L7" s="26" t="inlineStr">
        <is>
          <t>ساده</t>
        </is>
      </c>
      <c r="M7" s="26" t="n"/>
      <c r="N7" s="26" t="inlineStr">
        <is>
          <t>4152</t>
        </is>
      </c>
      <c r="O7" s="26" t="n"/>
      <c r="P7" s="33" t="inlineStr">
        <is>
          <t>https://hosseinykala.ir/product/panasonic-eh-hv11-travel-hair-straightener/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>\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سشوار پرو امگا مدل 8805</t>
        </is>
      </c>
      <c r="B9" s="24" t="n">
        <v>84500000</v>
      </c>
      <c r="C9" s="24">
        <f>IF(OR(ISBLANK(B9),B9=""),"",IF($L9="متغیر","⚠️ والد متغیر نباید قیمت داشته باشد",B9/10))</f>
        <v/>
      </c>
      <c r="D9" s="24" t="n">
        <v>84500000</v>
      </c>
      <c r="E9" s="44">
        <f>IF(OR(ISBLANK(B9),B9="",ISBLANK(D9),D9="",D9&lt;=0,$L9="متغیر"),"",(B9-D9)/D9)</f>
        <v/>
      </c>
      <c r="F9" s="24" t="n">
        <v>80275000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زیبایی و سلامت فردی</t>
        </is>
      </c>
      <c r="J9" s="26" t="inlineStr">
        <is>
          <t>زیبایی و سلامت فردی پرو امگا</t>
        </is>
      </c>
      <c r="K9" s="26" t="inlineStr">
        <is>
          <t>پرو امگا</t>
        </is>
      </c>
      <c r="L9" s="26" t="inlineStr">
        <is>
          <t>ساده</t>
        </is>
      </c>
      <c r="M9" s="26" t="n"/>
      <c r="N9" s="26" t="inlineStr">
        <is>
          <t>3285</t>
        </is>
      </c>
      <c r="O9" s="26" t="n"/>
      <c r="P9" s="33" t="inlineStr">
        <is>
          <t>https://hosseinykala.ir/?p=3285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ماشین اصلاح موی سر و صورت پرو امگا مدل T7</t>
        </is>
      </c>
      <c r="B10" s="24" t="n">
        <v>78000000</v>
      </c>
      <c r="C10" s="24">
        <f>IF(OR(ISBLANK(B10),B10=""),"",IF($L10="متغیر","⚠️ والد متغیر نباید قیمت داشته باشد",B10/10))</f>
        <v/>
      </c>
      <c r="D10" s="24" t="n">
        <v>78000000</v>
      </c>
      <c r="E10" s="44">
        <f>IF(OR(ISBLANK(B10),B10="",ISBLANK(D10),D10="",D10&lt;=0,$L10="متغیر"),"",(B10-D10)/D10)</f>
        <v/>
      </c>
      <c r="F10" s="24" t="n">
        <v>74100000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زیبایی و سلامت فردی</t>
        </is>
      </c>
      <c r="J10" s="26" t="inlineStr">
        <is>
          <t>زیبایی و سلامت فردی پرو امگا</t>
        </is>
      </c>
      <c r="K10" s="26" t="inlineStr">
        <is>
          <t>پرو امگا</t>
        </is>
      </c>
      <c r="L10" s="26" t="inlineStr">
        <is>
          <t>ساده</t>
        </is>
      </c>
      <c r="M10" s="26" t="n"/>
      <c r="N10" s="26" t="inlineStr">
        <is>
          <t>3065</t>
        </is>
      </c>
      <c r="O10" s="26" t="n"/>
      <c r="P10" s="33" t="inlineStr">
        <is>
          <t>https://hosseinykala.ir/?p=3065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ماشین اصلاح موی سر و صورت پرو امگا مدل T5</t>
        </is>
      </c>
      <c r="B11" s="24" t="n">
        <v>52000000</v>
      </c>
      <c r="C11" s="24">
        <f>IF(OR(ISBLANK(B11),B11=""),"",IF($L11="متغیر","⚠️ والد متغیر نباید قیمت داشته باشد",B11/10))</f>
        <v/>
      </c>
      <c r="D11" s="24" t="n">
        <v>52000000</v>
      </c>
      <c r="E11" s="44">
        <f>IF(OR(ISBLANK(B11),B11="",ISBLANK(D11),D11="",D11&lt;=0,$L11="متغیر"),"",(B11-D11)/D11)</f>
        <v/>
      </c>
      <c r="F11" s="24" t="n">
        <v>49400000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زیبایی و سلامت فردی</t>
        </is>
      </c>
      <c r="J11" s="26" t="inlineStr">
        <is>
          <t>زیبایی و سلامت فردی پرو امگا</t>
        </is>
      </c>
      <c r="K11" s="26" t="inlineStr">
        <is>
          <t>پرو امگا</t>
        </is>
      </c>
      <c r="L11" s="26" t="inlineStr">
        <is>
          <t>ساده</t>
        </is>
      </c>
      <c r="M11" s="26" t="n"/>
      <c r="N11" s="26" t="inlineStr">
        <is>
          <t>3056</t>
        </is>
      </c>
      <c r="O11" s="26" t="n"/>
      <c r="P11" s="33" t="inlineStr">
        <is>
          <t>https://hosseinykala.ir/?p=3056</t>
        </is>
      </c>
      <c r="Q11" s="26" t="n"/>
      <c r="R11" s="26" t="inlineStr">
        <is>
          <t>ثبت‌شده در سایت</t>
        </is>
      </c>
    </row>
    <row r="12" ht="21" customHeight="1" s="38">
      <c r="A12" s="23" t="inlineStr">
        <is>
          <t>سشوار حرفه ای پرو امگا مدل 8806</t>
        </is>
      </c>
      <c r="B12" s="24" t="n">
        <v>91000000</v>
      </c>
      <c r="C12" s="24">
        <f>IF(OR(ISBLANK(B12),B12=""),"",IF($L12="متغیر","⚠️ والد متغیر نباید قیمت داشته باشد",B12/10))</f>
        <v/>
      </c>
      <c r="D12" s="24" t="n">
        <v>91000000</v>
      </c>
      <c r="E12" s="44">
        <f>IF(OR(ISBLANK(B12),B12="",ISBLANK(D12),D12="",D12&lt;=0,$L12="متغیر"),"",(B12-D12)/D12)</f>
        <v/>
      </c>
      <c r="F12" s="24" t="n">
        <v>86450000</v>
      </c>
      <c r="G12" s="24">
        <f>IF(OR(ISBLANK(F12),F12=""),"",IF($L12="متغیر","",F12/10))</f>
        <v/>
      </c>
      <c r="H12" s="26" t="inlineStr">
        <is>
          <t>✓ موجود</t>
        </is>
      </c>
      <c r="I12" s="26" t="inlineStr">
        <is>
          <t>زیبایی و سلامت فردی</t>
        </is>
      </c>
      <c r="J12" s="26" t="inlineStr">
        <is>
          <t>زیبایی و سلامت فردی پرو امگا</t>
        </is>
      </c>
      <c r="K12" s="26" t="inlineStr">
        <is>
          <t>پرو امگا</t>
        </is>
      </c>
      <c r="L12" s="26" t="inlineStr">
        <is>
          <t>ساده</t>
        </is>
      </c>
      <c r="M12" s="26" t="n"/>
      <c r="N12" s="26" t="inlineStr">
        <is>
          <t>3049</t>
        </is>
      </c>
      <c r="O12" s="26" t="n"/>
      <c r="P12" s="33" t="inlineStr">
        <is>
          <t>https://hosseinykala.ir/?p=3049</t>
        </is>
      </c>
      <c r="Q12" s="26" t="n"/>
      <c r="R12" s="26" t="inlineStr">
        <is>
          <t>ثبت‌شده در سایت</t>
        </is>
      </c>
    </row>
    <row r="13" ht="21" customHeight="1" s="38">
      <c r="A13" s="23" t="inlineStr">
        <is>
          <t>ماشین اصلاح موی سر و صورت پروامگا مدل تک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26" t="inlineStr">
        <is>
          <t>✗ ناموجود</t>
        </is>
      </c>
      <c r="I13" s="26" t="inlineStr">
        <is>
          <t>زیبایی و سلامت فردی</t>
        </is>
      </c>
      <c r="J13" s="26" t="inlineStr">
        <is>
          <t>زیبایی و سلامت فردی پرو امگا</t>
        </is>
      </c>
      <c r="K13" s="26" t="inlineStr">
        <is>
          <t>پرو امگا</t>
        </is>
      </c>
      <c r="L13" s="26" t="inlineStr">
        <is>
          <t>ساده</t>
        </is>
      </c>
      <c r="M13" s="26" t="n"/>
      <c r="N13" s="26" t="n"/>
      <c r="O13" s="26" t="n"/>
      <c r="P13" s="33" t="n"/>
      <c r="Q13" s="26" t="n"/>
      <c r="R13" s="26" t="inlineStr">
        <is>
          <t>فعلا دست نگه دار</t>
        </is>
      </c>
    </row>
    <row r="14" ht="21" customHeight="1" s="38">
      <c r="A14" s="23" t="inlineStr">
        <is>
          <t>ماشین اصلاح موی سر و صورت پروامگا 8 کاره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زیبایی و سلامت فردی</t>
        </is>
      </c>
      <c r="J14" s="26" t="inlineStr">
        <is>
          <t>زیبایی و سلامت فردی پرو امگا</t>
        </is>
      </c>
      <c r="K14" s="26" t="inlineStr">
        <is>
          <t>پرو امگا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" customHeight="1" s="38">
      <c r="A15" s="23" t="inlineStr">
        <is>
          <t>ماشین اصلاح موی سر و صورت پروامگا شارژی و برقی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زیبایی و سلامت فردی</t>
        </is>
      </c>
      <c r="J15" s="26" t="inlineStr">
        <is>
          <t>زیبایی و سلامت فردی پرو امگا</t>
        </is>
      </c>
      <c r="K15" s="26" t="inlineStr">
        <is>
          <t>پرو امگا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سشوار حرفه ای پروامگا 2200 وات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زیبایی و سلامت فردی</t>
        </is>
      </c>
      <c r="J16" s="26" t="inlineStr">
        <is>
          <t>زیبایی و سلامت فردی پرو امگا</t>
        </is>
      </c>
      <c r="K16" s="26" t="inlineStr">
        <is>
          <t>پرو امگا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زیبایی و سلامت فردی  ◀  پرومارون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23" t="inlineStr">
        <is>
          <t>برس حرارتی صاف‌کننده مو پرومارون مدل 1113 تورمالین</t>
        </is>
      </c>
      <c r="B18" s="24" t="n">
        <v>65000000</v>
      </c>
      <c r="C18" s="24">
        <f>IF(OR(ISBLANK(B18),B18=""),"",IF($L18="متغیر","⚠️ والد متغیر نباید قیمت داشته باشد",B18/10))</f>
        <v/>
      </c>
      <c r="D18" s="24" t="n">
        <v>65000000</v>
      </c>
      <c r="E18" s="44">
        <f>IF(OR(ISBLANK(B18),B18="",ISBLANK(D18),D18="",D18&lt;=0,$L18="متغیر"),"",(B18-D18)/D18)</f>
        <v/>
      </c>
      <c r="F18" s="24" t="n">
        <v>61750000</v>
      </c>
      <c r="G18" s="24">
        <f>IF(OR(ISBLANK(F18),F18=""),"",IF($L18="متغیر","",F18/10))</f>
        <v/>
      </c>
      <c r="H18" s="26" t="inlineStr">
        <is>
          <t>✓ موجود</t>
        </is>
      </c>
      <c r="I18" s="26" t="inlineStr">
        <is>
          <t>زیبایی و سلامت فردی</t>
        </is>
      </c>
      <c r="J18" s="26" t="inlineStr">
        <is>
          <t>زیبایی و سلامت فردی پرومارون</t>
        </is>
      </c>
      <c r="K18" s="26" t="inlineStr">
        <is>
          <t>پرومارون</t>
        </is>
      </c>
      <c r="L18" s="26" t="inlineStr">
        <is>
          <t>ساده</t>
        </is>
      </c>
      <c r="M18" s="26" t="n"/>
      <c r="N18" s="26" t="inlineStr">
        <is>
          <t>3500</t>
        </is>
      </c>
      <c r="O18" s="26" t="n"/>
      <c r="P18" s="33" t="inlineStr">
        <is>
          <t>https://hosseinykala.ir/?p=3500</t>
        </is>
      </c>
      <c r="Q18" s="26" t="n"/>
      <c r="R18" s="26" t="inlineStr">
        <is>
          <t>ثبت‌شده در سایت</t>
        </is>
      </c>
    </row>
    <row r="19" ht="21" customHeight="1" s="38">
      <c r="A19" s="23" t="inlineStr">
        <is>
          <t>شیور و ماشین اصلاح ۵ کاره پرومارون مدل RL-614 ضدآب</t>
        </is>
      </c>
      <c r="B19" s="24" t="n">
        <v>75000000</v>
      </c>
      <c r="C19" s="24">
        <f>IF(OR(ISBLANK(B19),B19=""),"",IF($L19="متغیر","⚠️ والد متغیر نباید قیمت داشته باشد",B19/10))</f>
        <v/>
      </c>
      <c r="D19" s="24" t="n">
        <v>75000000</v>
      </c>
      <c r="E19" s="44">
        <f>IF(OR(ISBLANK(B19),B19="",ISBLANK(D19),D19="",D19&lt;=0,$L19="متغیر"),"",(B19-D19)/D19)</f>
        <v/>
      </c>
      <c r="F19" s="24" t="n">
        <v>71250000</v>
      </c>
      <c r="G19" s="24">
        <f>IF(OR(ISBLANK(F19),F19=""),"",IF($L19="متغیر","",F19/10))</f>
        <v/>
      </c>
      <c r="H19" s="26" t="inlineStr">
        <is>
          <t>✓ موجود</t>
        </is>
      </c>
      <c r="I19" s="26" t="inlineStr">
        <is>
          <t>زیبایی و سلامت فردی</t>
        </is>
      </c>
      <c r="J19" s="26" t="inlineStr">
        <is>
          <t>زیبایی و سلامت فردی پرومارون</t>
        </is>
      </c>
      <c r="K19" s="26" t="inlineStr">
        <is>
          <t>پرومارون</t>
        </is>
      </c>
      <c r="L19" s="26" t="inlineStr">
        <is>
          <t>ساده</t>
        </is>
      </c>
      <c r="M19" s="26" t="n"/>
      <c r="N19" s="26" t="inlineStr">
        <is>
          <t>3494</t>
        </is>
      </c>
      <c r="O19" s="26" t="n"/>
      <c r="P19" s="33" t="inlineStr">
        <is>
          <t>https://hosseinykala.ir/product/promaron-rl614-shaver-grooming-kit/</t>
        </is>
      </c>
      <c r="Q19" s="26" t="n"/>
      <c r="R19" s="26" t="inlineStr">
        <is>
          <t>ثبت‌شده در سایت</t>
        </is>
      </c>
    </row>
    <row r="20" ht="21" customHeight="1" s="38">
      <c r="A20" s="23" t="inlineStr">
        <is>
          <t>اتومو باریک سرامیکی پرومارون مدل 1116</t>
        </is>
      </c>
      <c r="B20" s="24" t="n">
        <v>75000000</v>
      </c>
      <c r="C20" s="24">
        <f>IF(OR(ISBLANK(B20),B20=""),"",IF($L20="متغیر","⚠️ والد متغیر نباید قیمت داشته باشد",B20/10))</f>
        <v/>
      </c>
      <c r="D20" s="24" t="n">
        <v>75000000</v>
      </c>
      <c r="E20" s="44">
        <f>IF(OR(ISBLANK(B20),B20="",ISBLANK(D20),D20="",D20&lt;=0,$L20="متغیر"),"",(B20-D20)/D20)</f>
        <v/>
      </c>
      <c r="F20" s="24" t="n">
        <v>71250000</v>
      </c>
      <c r="G20" s="24">
        <f>IF(OR(ISBLANK(F20),F20=""),"",IF($L20="متغیر","",F20/10))</f>
        <v/>
      </c>
      <c r="H20" s="26" t="inlineStr">
        <is>
          <t>✓ موجود</t>
        </is>
      </c>
      <c r="I20" s="26" t="inlineStr">
        <is>
          <t>زیبایی و سلامت فردی</t>
        </is>
      </c>
      <c r="J20" s="26" t="inlineStr">
        <is>
          <t>زیبایی و سلامت فردی پرومارون</t>
        </is>
      </c>
      <c r="K20" s="26" t="inlineStr">
        <is>
          <t>پرومارون</t>
        </is>
      </c>
      <c r="L20" s="26" t="inlineStr">
        <is>
          <t>ساده</t>
        </is>
      </c>
      <c r="M20" s="26" t="n"/>
      <c r="N20" s="26" t="inlineStr">
        <is>
          <t>3488</t>
        </is>
      </c>
      <c r="O20" s="26" t="n"/>
      <c r="P20" s="33" t="inlineStr">
        <is>
          <t>https://hosseinykala.ir/?p=3488</t>
        </is>
      </c>
      <c r="Q20" s="26" t="n"/>
      <c r="R20" s="26" t="inlineStr">
        <is>
          <t>ثبت‌شده در سایت</t>
        </is>
      </c>
    </row>
    <row r="21" ht="21" customHeight="1" s="38">
      <c r="A21" s="23" t="inlineStr">
        <is>
          <t>اتومو کراتینه سرامیک تیتانیوم پرومارون مدل 1115</t>
        </is>
      </c>
      <c r="B21" s="24" t="n">
        <v>85000000</v>
      </c>
      <c r="C21" s="24">
        <f>IF(OR(ISBLANK(B21),B21=""),"",IF($L21="متغیر","⚠️ والد متغیر نباید قیمت داشته باشد",B21/10))</f>
        <v/>
      </c>
      <c r="D21" s="24" t="n">
        <v>85000000</v>
      </c>
      <c r="E21" s="44">
        <f>IF(OR(ISBLANK(B21),B21="",ISBLANK(D21),D21="",D21&lt;=0,$L21="متغیر"),"",(B21-D21)/D21)</f>
        <v/>
      </c>
      <c r="F21" s="24" t="n">
        <v>80750000</v>
      </c>
      <c r="G21" s="24">
        <f>IF(OR(ISBLANK(F21),F21=""),"",IF($L21="متغیر","",F21/10))</f>
        <v/>
      </c>
      <c r="H21" s="26" t="inlineStr">
        <is>
          <t>✓ موجود</t>
        </is>
      </c>
      <c r="I21" s="26" t="inlineStr">
        <is>
          <t>زیبایی و سلامت فردی</t>
        </is>
      </c>
      <c r="J21" s="26" t="inlineStr">
        <is>
          <t>زیبایی و سلامت فردی پرومارون</t>
        </is>
      </c>
      <c r="K21" s="26" t="inlineStr">
        <is>
          <t>پرومارون</t>
        </is>
      </c>
      <c r="L21" s="26" t="inlineStr">
        <is>
          <t>ساده</t>
        </is>
      </c>
      <c r="M21" s="26" t="n"/>
      <c r="N21" s="26" t="inlineStr">
        <is>
          <t>3484</t>
        </is>
      </c>
      <c r="O21" s="26" t="n"/>
      <c r="P21" s="33" t="inlineStr">
        <is>
          <t>https://hosseinykala.ir/?p=3484</t>
        </is>
      </c>
      <c r="Q21" s="26" t="n"/>
      <c r="R21" s="26" t="inlineStr">
        <is>
          <t>ثبت‌شده در سایت</t>
        </is>
      </c>
    </row>
    <row r="22" ht="21" customHeight="1" s="38">
      <c r="A22" s="23" t="inlineStr">
        <is>
          <t>ریش تراش چرخشی پرومارون مدل 706</t>
        </is>
      </c>
      <c r="B22" s="24" t="n"/>
      <c r="C22" s="24">
        <f>IF(OR(ISBLANK(B22),B22=""),"",IF($L22="متغیر","⚠️ والد متغیر نباید قیمت داشته باشد",B22/10))</f>
        <v/>
      </c>
      <c r="D22" s="24" t="n"/>
      <c r="E22" s="44">
        <f>IF(OR(ISBLANK(B22),B22="",ISBLANK(D22),D22="",D22&lt;=0,$L22="متغیر"),"",(B22-D22)/D22)</f>
        <v/>
      </c>
      <c r="F22" s="24" t="n"/>
      <c r="G22" s="24">
        <f>IF(OR(ISBLANK(F22),F22=""),"",IF($L22="متغیر","",F22/10))</f>
        <v/>
      </c>
      <c r="H22" s="26" t="inlineStr">
        <is>
          <t>✗ ناموجود</t>
        </is>
      </c>
      <c r="I22" s="26" t="inlineStr">
        <is>
          <t>زیبایی و سلامت فردی</t>
        </is>
      </c>
      <c r="J22" s="26" t="inlineStr">
        <is>
          <t>زیبایی و سلامت فردی پرومارون</t>
        </is>
      </c>
      <c r="K22" s="26" t="inlineStr">
        <is>
          <t>پرومارون</t>
        </is>
      </c>
      <c r="L22" s="26" t="inlineStr">
        <is>
          <t>ساده</t>
        </is>
      </c>
      <c r="M22" s="26" t="n"/>
      <c r="N22" s="26" t="inlineStr">
        <is>
          <t>4154</t>
        </is>
      </c>
      <c r="O22" s="26" t="n"/>
      <c r="P22" s="33" t="inlineStr">
        <is>
          <t>https://hosseinykala.ir/product/promaron-706-rotary-shaver/</t>
        </is>
      </c>
      <c r="Q22" s="26" t="n"/>
      <c r="R22" s="26" t="inlineStr">
        <is>
          <t>ثبت‌شده در سایت</t>
        </is>
      </c>
    </row>
    <row r="23" ht="21" customHeight="1" s="38">
      <c r="A23" s="23" t="inlineStr">
        <is>
          <t>دستگاه پیرایش سیمی سر و صورت پرومارون مدل 731</t>
        </is>
      </c>
      <c r="B23" s="24" t="n"/>
      <c r="C23" s="24">
        <f>IF(OR(ISBLANK(B23),B23=""),"",IF($L23="متغیر","⚠️ والد متغیر نباید قیمت داشته باشد",B23/10))</f>
        <v/>
      </c>
      <c r="D23" s="24" t="n"/>
      <c r="E23" s="44">
        <f>IF(OR(ISBLANK(B23),B23="",ISBLANK(D23),D23="",D23&lt;=0,$L23="متغیر"),"",(B23-D23)/D23)</f>
        <v/>
      </c>
      <c r="F23" s="24" t="n"/>
      <c r="G23" s="24">
        <f>IF(OR(ISBLANK(F23),F23=""),"",IF($L23="متغیر","",F23/10))</f>
        <v/>
      </c>
      <c r="H23" s="26" t="inlineStr">
        <is>
          <t>✗ ناموجود</t>
        </is>
      </c>
      <c r="I23" s="26" t="inlineStr">
        <is>
          <t>زیبایی و سلامت فردی</t>
        </is>
      </c>
      <c r="J23" s="26" t="inlineStr">
        <is>
          <t>زیبایی و سلامت فردی پرومارون</t>
        </is>
      </c>
      <c r="K23" s="26" t="inlineStr">
        <is>
          <t>پرومارون</t>
        </is>
      </c>
      <c r="L23" s="26" t="inlineStr">
        <is>
          <t>ساده</t>
        </is>
      </c>
      <c r="M23" s="26" t="n"/>
      <c r="N23" s="26" t="inlineStr">
        <is>
          <t>4156</t>
        </is>
      </c>
      <c r="O23" s="26" t="n"/>
      <c r="P23" s="33" t="inlineStr">
        <is>
          <t>https://hosseinykala.ir/product/promaron-731-corded-hair-clipper/</t>
        </is>
      </c>
      <c r="Q23" s="26" t="n"/>
      <c r="R23" s="26" t="inlineStr">
        <is>
          <t>ثبت‌شده در سایت</t>
        </is>
      </c>
    </row>
    <row r="24" ht="21" customHeight="1" s="38">
      <c r="A24" s="23" t="inlineStr">
        <is>
          <t>فر کننده مو پرومارون مدل 9909</t>
        </is>
      </c>
      <c r="B24" s="24" t="n">
        <v>87000000</v>
      </c>
      <c r="C24" s="24">
        <f>IF(OR(ISBLANK(B24),B24=""),"",IF($L24="متغیر","⚠️ والد متغیر نباید قیمت داشته باشد",B24/10))</f>
        <v/>
      </c>
      <c r="D24" s="24" t="n">
        <v>87000000</v>
      </c>
      <c r="E24" s="44">
        <f>IF(OR(ISBLANK(B24),B24="",ISBLANK(D24),D24="",D24&lt;=0,$L24="متغیر"),"",(B24-D24)/D24)</f>
        <v/>
      </c>
      <c r="F24" s="24" t="n">
        <v>82650000</v>
      </c>
      <c r="G24" s="24">
        <f>IF(OR(ISBLANK(F24),F24=""),"",IF($L24="متغیر","",F24/10))</f>
        <v/>
      </c>
      <c r="H24" s="26" t="inlineStr">
        <is>
          <t>✓ موجود</t>
        </is>
      </c>
      <c r="I24" s="26" t="inlineStr">
        <is>
          <t>زیبایی و سلامت فردی</t>
        </is>
      </c>
      <c r="J24" s="26" t="inlineStr">
        <is>
          <t>زیبایی و سلامت فردی پرومارون</t>
        </is>
      </c>
      <c r="K24" s="26" t="inlineStr">
        <is>
          <t>پرومارون</t>
        </is>
      </c>
      <c r="L24" s="26" t="inlineStr">
        <is>
          <t>ساده</t>
        </is>
      </c>
      <c r="M24" s="26" t="n"/>
      <c r="N24" s="26" t="inlineStr">
        <is>
          <t>4158</t>
        </is>
      </c>
      <c r="O24" s="26" t="n"/>
      <c r="P24" s="33" t="inlineStr">
        <is>
          <t>https://hosseinykala.ir/product/promaron-9909-hair-curler/</t>
        </is>
      </c>
      <c r="Q24" s="26" t="n"/>
      <c r="R24" s="26" t="inlineStr">
        <is>
          <t>ثبت‌شده در سایت</t>
        </is>
      </c>
    </row>
    <row r="25" ht="21.95" customHeight="1" s="38">
      <c r="A25" s="39" t="inlineStr">
        <is>
          <t xml:space="preserve">  📂 زیبایی و سلامت فردی  ◀  زیکو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1" t="n"/>
    </row>
    <row r="26" ht="21" customHeight="1" s="38">
      <c r="A26" s="23" t="inlineStr">
        <is>
          <t>سشوار حرفه ای زیکو مدل 5020</t>
        </is>
      </c>
      <c r="B26" s="24" t="n">
        <v>290000000</v>
      </c>
      <c r="C26" s="24">
        <f>IF(OR(ISBLANK(B26),B26=""),"",IF($L26="متغیر","⚠️ والد متغیر نباید قیمت داشته باشد",B26/10))</f>
        <v/>
      </c>
      <c r="D26" s="24" t="n">
        <v>290000000</v>
      </c>
      <c r="E26" s="44">
        <f>IF(OR(ISBLANK(B26),B26="",ISBLANK(D26),D26="",D26&lt;=0,$L26="متغیر"),"",(B26-D26)/D26)</f>
        <v/>
      </c>
      <c r="F26" s="24" t="n">
        <v>275500000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زیبایی و سلامت فردی</t>
        </is>
      </c>
      <c r="J26" s="26" t="inlineStr">
        <is>
          <t>زیبایی و سلامت فردی زیکو</t>
        </is>
      </c>
      <c r="K26" s="26" t="inlineStr">
        <is>
          <t>زیکو</t>
        </is>
      </c>
      <c r="L26" s="26" t="inlineStr">
        <is>
          <t>ساده</t>
        </is>
      </c>
      <c r="M26" s="26" t="n"/>
      <c r="N26" s="26" t="n">
        <v>4235</v>
      </c>
      <c r="O26" s="26" t="n"/>
      <c r="P26" s="33" t="inlineStr">
        <is>
          <t>https://hosseinykala.ir/product/ziko-zc5020-professional-hair-dryer/</t>
        </is>
      </c>
      <c r="Q26" s="26" t="n"/>
      <c r="R26" s="26" t="inlineStr">
        <is>
          <t>ثبت‌شده در سایت</t>
        </is>
      </c>
    </row>
  </sheetData>
  <autoFilter ref="A1:R1"/>
  <mergeCells count="6">
    <mergeCell ref="A25:R25"/>
    <mergeCell ref="A2:R2"/>
    <mergeCell ref="A17:R17"/>
    <mergeCell ref="A8:R8"/>
    <mergeCell ref="A6:R6"/>
    <mergeCell ref="A4:R4"/>
  </mergeCells>
  <conditionalFormatting sqref="A2:R26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26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26">
    <cfRule type="expression" priority="6" dxfId="3" stopIfTrue="1">
      <formula>AND(ISNUMBER($B2), ISNUMBER($D2), $D2&gt;0, ABS(($B2-$D2)/$D2)&gt;=0.5, $L2&lt;&gt;"متغیر")</formula>
    </cfRule>
  </conditionalFormatting>
  <conditionalFormatting sqref="F2:F26">
    <cfRule type="expression" priority="4" dxfId="2" stopIfTrue="1">
      <formula>AND($L2="متغیر", OR(ISNUMBER(B2), ISNUMBER(F2)))</formula>
    </cfRule>
  </conditionalFormatting>
  <conditionalFormatting sqref="H2:H26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26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26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B29"/>
  <sheetViews>
    <sheetView rightToLeft="1" workbookViewId="0">
      <selection activeCell="A1" sqref="A1"/>
    </sheetView>
  </sheetViews>
  <sheetFormatPr baseColWidth="8" defaultRowHeight="15"/>
  <sheetData>
    <row r="2" ht="18.6" customHeight="1" s="38">
      <c r="B2" s="37" t="inlineStr">
        <is>
          <t>📖 راهنمای جامع مدیریت و تطبیق کاتالوگ حسینی کالا</t>
        </is>
      </c>
    </row>
    <row r="4">
      <c r="B4" s="27" t="inlineStr">
        <is>
          <t>۱. تطبیق یخچال‌فریزرهای دوقلو:</t>
        </is>
      </c>
    </row>
    <row r="5">
      <c r="B5" s="28" t="inlineStr">
        <is>
          <t xml:space="preserve">   - در انبار، دوقلوها به صورت فریزر تک و یخچال تک ثبت می‌شوند. این دو باهم جفت شده و به عنوان یک محصول دوقلو تعریف شدند.</t>
        </is>
      </c>
    </row>
    <row r="6">
      <c r="B6" s="28" t="inlineStr">
        <is>
          <t xml:space="preserve">   - دوقلوهایی که در سایت ثبت هستند (مانند کلور روسوپلاس، گلوری، ۱۰۱) مستقیماً به تنوع رنگی سایت (سفید، استیل، مشکی) متصل شدند.</t>
        </is>
      </c>
    </row>
    <row r="7">
      <c r="B7" s="28" t="inlineStr">
        <is>
          <t xml:space="preserve">   - دوقلوهای آفلاین نیز در قالب یک محصول متغیر واحد با دو متغیر سفید و استیل تنظیم شده‌اند و از ایجاد ردیف‌های تکی جلوگیری شد.</t>
        </is>
      </c>
    </row>
    <row r="8">
      <c r="B8" s="28" t="n"/>
    </row>
    <row r="9">
      <c r="B9" s="27" t="inlineStr">
        <is>
          <t>۲. تجمیع مایتابه‌ها و ظروف سایزدار:</t>
        </is>
      </c>
    </row>
    <row r="10">
      <c r="B10" s="28" t="inlineStr">
        <is>
          <t xml:space="preserve">   - کلیه مایتابه‌های گرانیتی اویز در قالب یک محصول متغیر واحد با مشخصه سایز (۲۲، ۲۴، ۲۶، ۲۸، ۳۰، ۳۲) قرار گرفتند.</t>
        </is>
      </c>
    </row>
    <row r="11">
      <c r="B11" s="28" t="inlineStr">
        <is>
          <t xml:space="preserve">   - کلیه قابلمه‌های اویز نیز با محصول متغیر شناسه ۳۵۹۶ سایت تطبیق داده شدند.</t>
        </is>
      </c>
    </row>
    <row r="12">
      <c r="B12" s="28" t="n"/>
    </row>
    <row r="13">
      <c r="B13" s="27" t="inlineStr">
        <is>
          <t>۳. قانون اولویت و جلوگیری از تکرار:</t>
        </is>
      </c>
    </row>
    <row r="14">
      <c r="B14" s="28" t="inlineStr">
        <is>
          <t xml:space="preserve">   - اگر محصولی از قبل در سایت بوده، اولویت قطعی با محصول سایت است و هیچ ردیف تکراری آفلاین برای آن ساخته نشد.</t>
        </is>
      </c>
    </row>
    <row r="15">
      <c r="B15" s="28" t="inlineStr">
        <is>
          <t xml:space="preserve">   - اقلام مشابه قبلی اکسل و لیست جدید انبار باهم تلفیق شده و مشخصات و موجودی دقیق‌تر و به‌روزتر حفظ گردید.</t>
        </is>
      </c>
    </row>
    <row r="16">
      <c r="B16" s="28" t="n"/>
    </row>
    <row r="17">
      <c r="A17" s="29" t="inlineStr">
        <is>
          <t>۴. سیستم نظارت بر قیمت‌ها و هشدار درصد تغییر (ایمنی اوپراتور):</t>
        </is>
      </c>
      <c r="B17" s="27" t="inlineStr">
        <is>
          <t>۴. ستون‌های قیمت و فرمول‌ها:</t>
        </is>
      </c>
    </row>
    <row r="18">
      <c r="A18" s="30" t="inlineStr">
        <is>
          <t xml:space="preserve">   - ستون B («قیمت عادی ریال»): قیمت فعلی محصول که توسط اوپراتور وارد می‌شود.</t>
        </is>
      </c>
      <c r="B18" s="28" t="inlineStr">
        <is>
          <t xml:space="preserve">   - قیمت‌های تومان ستون‌های C و E با فرمول خودکار بر مبنای تقسیم بر ۱۰ ستون‌های ریال محاسبه می‌شوند.</t>
        </is>
      </c>
    </row>
    <row r="19">
      <c r="A19" s="30" t="inlineStr">
        <is>
          <t xml:space="preserve">   - ستون C («قیمت عادی تومان»): با فرمول تقسیم بر ۱۰ به صورت خودکار محاسبه می‌شود.</t>
        </is>
      </c>
      <c r="B19" s="28" t="inlineStr">
        <is>
          <t xml:space="preserve">   - وضعیت موجودی دارای منوی کشویی انتخاب (✓ موجود / ✗ ناموجود) است.</t>
        </is>
      </c>
    </row>
    <row r="20">
      <c r="A20" s="30" t="inlineStr">
        <is>
          <t xml:space="preserve">   - ستون D («آخرین قیمت مشخص‌شده ریال»): قیمت مبنا و آخرین قیمت تاییدشده کالا جهت مقایسه.</t>
        </is>
      </c>
      <c r="B20" s="28" t="n"/>
    </row>
    <row r="21">
      <c r="A21" s="30" t="inlineStr">
        <is>
          <t xml:space="preserve">   - ستون E («درصد تغییر قیمت»): با فرمول =((B-D)/D) درصد افزایش یا کاهش قیمت را محاسبه می‌کند.</t>
        </is>
      </c>
      <c r="B21" s="27" t="inlineStr">
        <is>
          <t>۵. وضعیت کالاها در سایت و رنگ‌بندی پویا (Conditional Formatting):</t>
        </is>
      </c>
    </row>
    <row r="22">
      <c r="A22" s="30" t="inlineStr">
        <is>
          <t xml:space="preserve">   - ⚠️ هشدار نارنجی تغییر قیمت (بیشتر از ۵۰٪): اگر قیمت کالا ۵۰ درصد یا بیشتر افزایش یا کاهش یابد، خانه‌های B و E نارنجی پررنگ می‌شوند تا از اشتباه اوپراتور (مثل کم یا زیاد گذاشتن صفر) جلوگیری شود.</t>
        </is>
      </c>
      <c r="B22" s="28" t="inlineStr">
        <is>
          <t xml:space="preserve">   - ستون P («وضعیت در سایت») دارای منوی کشویی سه‌حالته است:</t>
        </is>
      </c>
    </row>
    <row r="23">
      <c r="A23" s="30" t="inlineStr">
        <is>
          <t xml:space="preserve">   - ⛔ قانون محصولات متغیر: محصولات والد اصلی (نوع «متغیر») نباید هیچ قیمتی داشته باشند و فقط تنوع‌های زیرمجموعه آن‌ها قیمت دارند. در صورت ورود اشتباهی قیمت روی محصول والد، سطر قرمز شده و متن اخطار نمایش می‌یابد.</t>
        </is>
      </c>
      <c r="B23" s="28" t="inlineStr">
        <is>
          <t xml:space="preserve">     • «ثبت‌شده در سایت»: محصول در سایت فعال است (رنگ پیش‌فرض سفید).</t>
        </is>
      </c>
    </row>
    <row r="24">
      <c r="B24" s="28" t="inlineStr">
        <is>
          <t xml:space="preserve">     • «در سایت تعریف نشده»: کالای آفلاین انبار که هنوز روی سایت نیست (سطر به طور پویا زرد می‌شود).</t>
        </is>
      </c>
    </row>
    <row r="25">
      <c r="A25" s="29" t="inlineStr">
        <is>
          <t>۵. وضعیت کالاها در سایت و رنگ‌بندی پویا (Conditional Formatting):</t>
        </is>
      </c>
      <c r="B25" s="28" t="inlineStr">
        <is>
          <t xml:space="preserve">     • «فعلا دست نگه دار»: کالاهایی که تصمیم دارید فعلاً روی سایت ایجاد نشوند (سطر به طور پویا نارنجی/هلویی می‌شود).</t>
        </is>
      </c>
    </row>
    <row r="26">
      <c r="A26" s="30" t="inlineStr">
        <is>
          <t xml:space="preserve">   - ستون R («وضعیت در سایت») دارای منوی کشویی سه‌حالته است:</t>
        </is>
      </c>
      <c r="B26" s="28" t="inlineStr">
        <is>
          <t xml:space="preserve">   - قانون مهم ساخت محصولات: هنگام اجرای اسکریپت‌های ایجاد محصولات جدید، کلیه اقلامی که روی «فعلا دست نگه دار» باشند، رد (Skip) شده و تعریف نخواهند شد.</t>
        </is>
      </c>
    </row>
    <row r="27">
      <c r="A27" s="30" t="inlineStr">
        <is>
          <t xml:space="preserve">     • «ثبت‌شده در سایت»: محصول فعال است (رنگ پیش‌فرض سفید).</t>
        </is>
      </c>
    </row>
    <row r="28">
      <c r="A28" s="30" t="inlineStr">
        <is>
          <t xml:space="preserve">     • «در سایت تعریف نشده»: کالای آفلاین انبار که هنوز روی سایت نیست (سطر زرد ملایم می‌شود).</t>
        </is>
      </c>
    </row>
    <row r="29">
      <c r="A29" s="30" t="inlineStr">
        <is>
          <t xml:space="preserve">     • «فعلا دست نگه دار»: کالاهایی که نباید روی سایت ایجاد شوند (سطر نارنجی ملایم می‌شود).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2026-10-11T20:46:22Z</dcterms:created>
  <dcterms:modified xmlns:dcterms="http://purl.org/dc/terms/" xmlns:xsi="http://www.w3.org/2001/XMLSchema-instance" xsi:type="dcterms:W3CDTF">2026-10-12T20:09:12Z</dcterms:modified>
  <cp:lastModifiedBy>Microsoft</cp:lastModifiedBy>
</cp:coreProperties>
</file>